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jesul\Documents\GitHub\portfolio.data\files\Datasets\"/>
    </mc:Choice>
  </mc:AlternateContent>
  <xr:revisionPtr revIDLastSave="0" documentId="13_ncr:1_{6898D048-36CC-41E9-8137-6B6993F1CAFF}" xr6:coauthVersionLast="47" xr6:coauthVersionMax="47" xr10:uidLastSave="{00000000-0000-0000-0000-000000000000}"/>
  <bookViews>
    <workbookView xWindow="45960" yWindow="-120" windowWidth="29040" windowHeight="15720" xr2:uid="{18104FDF-7B23-426C-B7F6-5DD1A490748B}"/>
  </bookViews>
  <sheets>
    <sheet name="Dashboard" sheetId="1" r:id="rId1"/>
    <sheet name="Analysis" sheetId="4" r:id="rId2"/>
    <sheet name="Dataset" sheetId="2" r:id="rId3"/>
    <sheet name="Extractions" sheetId="3" r:id="rId4"/>
  </sheets>
  <definedNames>
    <definedName name="_xlchart.v5.0" hidden="1">Analysis!$F$28</definedName>
    <definedName name="_xlchart.v5.1" hidden="1">Analysis!$F$29:$F$34</definedName>
    <definedName name="_xlchart.v5.2" hidden="1">Analysis!$G$28</definedName>
    <definedName name="_xlchart.v5.3" hidden="1">Analysis!$G$29:$G$34</definedName>
    <definedName name="_xlcn.WorksheetConnection_EliteRetailHubSalesReport.xlsxdata1" hidden="1">data[]</definedName>
    <definedName name="Category.">Extractions!$E$2:$F$7</definedName>
    <definedName name="ExternalData_1" localSheetId="2" hidden="1">Dataset!$A$1:$K$201</definedName>
    <definedName name="Product.">Extractions!$H$2:$I$22</definedName>
    <definedName name="Slicer_Category">#N/A</definedName>
    <definedName name="Slicer_Month">#N/A</definedName>
    <definedName name="Slicer_Seller">#N/A</definedName>
    <definedName name="Slicer_State">#N/A</definedName>
    <definedName name="State.">Extractions!$K$2:$L$8</definedName>
  </definedNames>
  <calcPr calcId="191029"/>
  <pivotCaches>
    <pivotCache cacheId="887" r:id="rId5"/>
    <pivotCache cacheId="893" r:id="rId6"/>
    <pivotCache cacheId="896" r:id="rId7"/>
    <pivotCache cacheId="899" r:id="rId8"/>
    <pivotCache cacheId="902" r:id="rId9"/>
    <pivotCache cacheId="905" r:id="rId10"/>
    <pivotCache cacheId="908" r:id="rId11"/>
    <pivotCache cacheId="911" r:id="rId12"/>
    <pivotCache cacheId="914" r:id="rId13"/>
    <pivotCache cacheId="917" r:id="rId14"/>
    <pivotCache cacheId="920" r:id="rId15"/>
  </pivotCaches>
  <extLst>
    <ext xmlns:x14="http://schemas.microsoft.com/office/spreadsheetml/2009/9/main" uri="{876F7934-8845-4945-9796-88D515C7AA90}">
      <x14:pivotCaches>
        <pivotCache cacheId="623"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Elite Retail Hub Sales Report.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4" l="1"/>
  <c r="M33" i="4"/>
  <c r="M30" i="4"/>
  <c r="M27" i="4"/>
  <c r="M24" i="4"/>
  <c r="K3" i="3" a="1"/>
  <c r="K3" i="3" s="1"/>
  <c r="H2" i="2" s="1"/>
  <c r="H3" i="3" a="1"/>
  <c r="H3" i="3" s="1"/>
  <c r="I3" i="3" s="1"/>
  <c r="E3" i="3" a="1"/>
  <c r="E3" i="3" s="1"/>
  <c r="D2" i="2" s="1"/>
  <c r="C3" i="3" a="1"/>
  <c r="C3" i="3" s="1"/>
  <c r="A3" i="3" a="1"/>
  <c r="A3" i="3" s="1"/>
  <c r="D189" i="2" l="1"/>
  <c r="D173" i="2"/>
  <c r="D157" i="2"/>
  <c r="D141" i="2"/>
  <c r="D125" i="2"/>
  <c r="D109" i="2"/>
  <c r="D93" i="2"/>
  <c r="D77" i="2"/>
  <c r="D61" i="2"/>
  <c r="D45" i="2"/>
  <c r="D29" i="2"/>
  <c r="D13" i="2"/>
  <c r="H189" i="2"/>
  <c r="H173" i="2"/>
  <c r="H157" i="2"/>
  <c r="H141" i="2"/>
  <c r="H125" i="2"/>
  <c r="H109" i="2"/>
  <c r="H93" i="2"/>
  <c r="H77" i="2"/>
  <c r="H61" i="2"/>
  <c r="H45" i="2"/>
  <c r="H29" i="2"/>
  <c r="H13" i="2"/>
  <c r="D188" i="2"/>
  <c r="D172" i="2"/>
  <c r="D156" i="2"/>
  <c r="D140" i="2"/>
  <c r="D124" i="2"/>
  <c r="D108" i="2"/>
  <c r="D92" i="2"/>
  <c r="D76" i="2"/>
  <c r="D60" i="2"/>
  <c r="D44" i="2"/>
  <c r="D28" i="2"/>
  <c r="D12" i="2"/>
  <c r="H188" i="2"/>
  <c r="H172" i="2"/>
  <c r="H156" i="2"/>
  <c r="H140" i="2"/>
  <c r="H124" i="2"/>
  <c r="H108" i="2"/>
  <c r="H92" i="2"/>
  <c r="H76" i="2"/>
  <c r="H60" i="2"/>
  <c r="H44" i="2"/>
  <c r="H28" i="2"/>
  <c r="H12" i="2"/>
  <c r="D97" i="2"/>
  <c r="H97" i="2"/>
  <c r="D192" i="2"/>
  <c r="D64" i="2"/>
  <c r="H112" i="2"/>
  <c r="D95" i="2"/>
  <c r="H143" i="2"/>
  <c r="D158" i="2"/>
  <c r="F134" i="2"/>
  <c r="H126" i="2"/>
  <c r="H171" i="2"/>
  <c r="H11" i="2"/>
  <c r="D177" i="2"/>
  <c r="D65" i="2"/>
  <c r="H65" i="2"/>
  <c r="D80" i="2"/>
  <c r="H48" i="2"/>
  <c r="H111" i="2"/>
  <c r="D126" i="2"/>
  <c r="H158" i="2"/>
  <c r="D123" i="2"/>
  <c r="H155" i="2"/>
  <c r="D138" i="2"/>
  <c r="D106" i="2"/>
  <c r="D74" i="2"/>
  <c r="D58" i="2"/>
  <c r="D42" i="2"/>
  <c r="D26" i="2"/>
  <c r="D10" i="2"/>
  <c r="F2" i="2"/>
  <c r="H186" i="2"/>
  <c r="H170" i="2"/>
  <c r="H154" i="2"/>
  <c r="H138" i="2"/>
  <c r="H122" i="2"/>
  <c r="H106" i="2"/>
  <c r="H90" i="2"/>
  <c r="H74" i="2"/>
  <c r="H58" i="2"/>
  <c r="H42" i="2"/>
  <c r="H26" i="2"/>
  <c r="H10" i="2"/>
  <c r="D129" i="2"/>
  <c r="D49" i="2"/>
  <c r="H145" i="2"/>
  <c r="H129" i="2"/>
  <c r="H17" i="2"/>
  <c r="D144" i="2"/>
  <c r="D48" i="2"/>
  <c r="F152" i="2"/>
  <c r="H192" i="2"/>
  <c r="H160" i="2"/>
  <c r="H32" i="2"/>
  <c r="D175" i="2"/>
  <c r="D63" i="2"/>
  <c r="H191" i="2"/>
  <c r="H159" i="2"/>
  <c r="H15" i="2"/>
  <c r="D190" i="2"/>
  <c r="D78" i="2"/>
  <c r="H14" i="2"/>
  <c r="D107" i="2"/>
  <c r="D11" i="2"/>
  <c r="H59" i="2"/>
  <c r="D170" i="2"/>
  <c r="D122" i="2"/>
  <c r="D90" i="2"/>
  <c r="D201" i="2"/>
  <c r="D185" i="2"/>
  <c r="D169" i="2"/>
  <c r="D153" i="2"/>
  <c r="D137" i="2"/>
  <c r="D121" i="2"/>
  <c r="D105" i="2"/>
  <c r="D89" i="2"/>
  <c r="D73" i="2"/>
  <c r="D57" i="2"/>
  <c r="D41" i="2"/>
  <c r="D25" i="2"/>
  <c r="D9" i="2"/>
  <c r="H201" i="2"/>
  <c r="H185" i="2"/>
  <c r="H169" i="2"/>
  <c r="H153" i="2"/>
  <c r="H137" i="2"/>
  <c r="H121" i="2"/>
  <c r="H105" i="2"/>
  <c r="H89" i="2"/>
  <c r="H73" i="2"/>
  <c r="H57" i="2"/>
  <c r="H41" i="2"/>
  <c r="H25" i="2"/>
  <c r="H9" i="2"/>
  <c r="D79" i="2"/>
  <c r="H95" i="2"/>
  <c r="D94" i="2"/>
  <c r="H110" i="2"/>
  <c r="D171" i="2"/>
  <c r="H75" i="2"/>
  <c r="D184" i="2"/>
  <c r="D136" i="2"/>
  <c r="D120" i="2"/>
  <c r="D104" i="2"/>
  <c r="D88" i="2"/>
  <c r="D72" i="2"/>
  <c r="D56" i="2"/>
  <c r="D40" i="2"/>
  <c r="D24" i="2"/>
  <c r="D8" i="2"/>
  <c r="H200" i="2"/>
  <c r="H184" i="2"/>
  <c r="H168" i="2"/>
  <c r="H152" i="2"/>
  <c r="H136" i="2"/>
  <c r="H120" i="2"/>
  <c r="H104" i="2"/>
  <c r="H88" i="2"/>
  <c r="H72" i="2"/>
  <c r="H56" i="2"/>
  <c r="H40" i="2"/>
  <c r="H24" i="2"/>
  <c r="H8" i="2"/>
  <c r="D110" i="2"/>
  <c r="D14" i="2"/>
  <c r="F22" i="2"/>
  <c r="H174" i="2"/>
  <c r="H30" i="2"/>
  <c r="D139" i="2"/>
  <c r="D75" i="2"/>
  <c r="H187" i="2"/>
  <c r="H91" i="2"/>
  <c r="D154" i="2"/>
  <c r="D152" i="2"/>
  <c r="D199" i="2"/>
  <c r="D183" i="2"/>
  <c r="D167" i="2"/>
  <c r="D151" i="2"/>
  <c r="D135" i="2"/>
  <c r="D119" i="2"/>
  <c r="D103" i="2"/>
  <c r="D87" i="2"/>
  <c r="D71" i="2"/>
  <c r="D55" i="2"/>
  <c r="D39" i="2"/>
  <c r="D23" i="2"/>
  <c r="D7" i="2"/>
  <c r="H199" i="2"/>
  <c r="H183" i="2"/>
  <c r="H167" i="2"/>
  <c r="H151" i="2"/>
  <c r="H135" i="2"/>
  <c r="H119" i="2"/>
  <c r="H103" i="2"/>
  <c r="H87" i="2"/>
  <c r="H71" i="2"/>
  <c r="H55" i="2"/>
  <c r="H39" i="2"/>
  <c r="H23" i="2"/>
  <c r="H7" i="2"/>
  <c r="D145" i="2"/>
  <c r="D33" i="2"/>
  <c r="H193" i="2"/>
  <c r="H81" i="2"/>
  <c r="D160" i="2"/>
  <c r="H128" i="2"/>
  <c r="D191" i="2"/>
  <c r="D31" i="2"/>
  <c r="H63" i="2"/>
  <c r="D30" i="2"/>
  <c r="H62" i="2"/>
  <c r="D43" i="2"/>
  <c r="H27" i="2"/>
  <c r="D168" i="2"/>
  <c r="D198" i="2"/>
  <c r="D182" i="2"/>
  <c r="D166" i="2"/>
  <c r="D150" i="2"/>
  <c r="D134" i="2"/>
  <c r="D118" i="2"/>
  <c r="D102" i="2"/>
  <c r="D86" i="2"/>
  <c r="D70" i="2"/>
  <c r="D54" i="2"/>
  <c r="D38" i="2"/>
  <c r="D22" i="2"/>
  <c r="D6" i="2"/>
  <c r="H198" i="2"/>
  <c r="H182" i="2"/>
  <c r="H166" i="2"/>
  <c r="H150" i="2"/>
  <c r="H134" i="2"/>
  <c r="H118" i="2"/>
  <c r="H102" i="2"/>
  <c r="H86" i="2"/>
  <c r="H70" i="2"/>
  <c r="H54" i="2"/>
  <c r="H38" i="2"/>
  <c r="H22" i="2"/>
  <c r="H6" i="2"/>
  <c r="D193" i="2"/>
  <c r="D81" i="2"/>
  <c r="H113" i="2"/>
  <c r="D176" i="2"/>
  <c r="D32" i="2"/>
  <c r="H96" i="2"/>
  <c r="D127" i="2"/>
  <c r="H127" i="2"/>
  <c r="D174" i="2"/>
  <c r="H94" i="2"/>
  <c r="D91" i="2"/>
  <c r="H107" i="2"/>
  <c r="D197" i="2"/>
  <c r="D181" i="2"/>
  <c r="D165" i="2"/>
  <c r="D149" i="2"/>
  <c r="D133" i="2"/>
  <c r="D117" i="2"/>
  <c r="D101" i="2"/>
  <c r="D85" i="2"/>
  <c r="D69" i="2"/>
  <c r="D53" i="2"/>
  <c r="D37" i="2"/>
  <c r="D21" i="2"/>
  <c r="D5" i="2"/>
  <c r="F125" i="2"/>
  <c r="H197" i="2"/>
  <c r="H181" i="2"/>
  <c r="H165" i="2"/>
  <c r="H149" i="2"/>
  <c r="H133" i="2"/>
  <c r="H117" i="2"/>
  <c r="H101" i="2"/>
  <c r="H85" i="2"/>
  <c r="H69" i="2"/>
  <c r="H53" i="2"/>
  <c r="H37" i="2"/>
  <c r="H21" i="2"/>
  <c r="H5" i="2"/>
  <c r="D128" i="2"/>
  <c r="D16" i="2"/>
  <c r="H176" i="2"/>
  <c r="H144" i="2"/>
  <c r="H16" i="2"/>
  <c r="D159" i="2"/>
  <c r="D47" i="2"/>
  <c r="H175" i="2"/>
  <c r="H47" i="2"/>
  <c r="D142" i="2"/>
  <c r="D46" i="2"/>
  <c r="H190" i="2"/>
  <c r="H46" i="2"/>
  <c r="D155" i="2"/>
  <c r="D59" i="2"/>
  <c r="H43" i="2"/>
  <c r="D200" i="2"/>
  <c r="D196" i="2"/>
  <c r="D180" i="2"/>
  <c r="D164" i="2"/>
  <c r="D148" i="2"/>
  <c r="D132" i="2"/>
  <c r="D116" i="2"/>
  <c r="D100" i="2"/>
  <c r="D84" i="2"/>
  <c r="D68" i="2"/>
  <c r="D52" i="2"/>
  <c r="D36" i="2"/>
  <c r="D20" i="2"/>
  <c r="D4" i="2"/>
  <c r="H196" i="2"/>
  <c r="H180" i="2"/>
  <c r="H164" i="2"/>
  <c r="H148" i="2"/>
  <c r="H132" i="2"/>
  <c r="H116" i="2"/>
  <c r="H100" i="2"/>
  <c r="H84" i="2"/>
  <c r="H68" i="2"/>
  <c r="H52" i="2"/>
  <c r="H36" i="2"/>
  <c r="H20" i="2"/>
  <c r="H4" i="2"/>
  <c r="D161" i="2"/>
  <c r="D17" i="2"/>
  <c r="H177" i="2"/>
  <c r="H49" i="2"/>
  <c r="D112" i="2"/>
  <c r="H80" i="2"/>
  <c r="D111" i="2"/>
  <c r="H31" i="2"/>
  <c r="H142" i="2"/>
  <c r="D187" i="2"/>
  <c r="H139" i="2"/>
  <c r="D186" i="2"/>
  <c r="D195" i="2"/>
  <c r="D179" i="2"/>
  <c r="D163" i="2"/>
  <c r="D147" i="2"/>
  <c r="D131" i="2"/>
  <c r="D115" i="2"/>
  <c r="D99" i="2"/>
  <c r="D83" i="2"/>
  <c r="D67" i="2"/>
  <c r="D51" i="2"/>
  <c r="D35" i="2"/>
  <c r="D19" i="2"/>
  <c r="D3" i="2"/>
  <c r="H195" i="2"/>
  <c r="H179" i="2"/>
  <c r="H163" i="2"/>
  <c r="H147" i="2"/>
  <c r="H131" i="2"/>
  <c r="H115" i="2"/>
  <c r="H99" i="2"/>
  <c r="H83" i="2"/>
  <c r="H67" i="2"/>
  <c r="H51" i="2"/>
  <c r="H35" i="2"/>
  <c r="H19" i="2"/>
  <c r="H3" i="2"/>
  <c r="D113" i="2"/>
  <c r="H161" i="2"/>
  <c r="H33" i="2"/>
  <c r="D96" i="2"/>
  <c r="H64" i="2"/>
  <c r="D143" i="2"/>
  <c r="D15" i="2"/>
  <c r="H79" i="2"/>
  <c r="D62" i="2"/>
  <c r="F86" i="2"/>
  <c r="H78" i="2"/>
  <c r="D27" i="2"/>
  <c r="H123" i="2"/>
  <c r="D194" i="2"/>
  <c r="D178" i="2"/>
  <c r="D162" i="2"/>
  <c r="D146" i="2"/>
  <c r="D130" i="2"/>
  <c r="D114" i="2"/>
  <c r="D98" i="2"/>
  <c r="D82" i="2"/>
  <c r="D66" i="2"/>
  <c r="D50" i="2"/>
  <c r="D34" i="2"/>
  <c r="D18" i="2"/>
  <c r="F10" i="2"/>
  <c r="H194" i="2"/>
  <c r="H178" i="2"/>
  <c r="H162" i="2"/>
  <c r="H146" i="2"/>
  <c r="H130" i="2"/>
  <c r="H114" i="2"/>
  <c r="H98" i="2"/>
  <c r="H82" i="2"/>
  <c r="H66" i="2"/>
  <c r="H50" i="2"/>
  <c r="H34" i="2"/>
  <c r="H18" i="2"/>
  <c r="I18" i="3"/>
  <c r="F122" i="2" s="1"/>
  <c r="I19" i="3"/>
  <c r="F151" i="2" s="1"/>
  <c r="I17" i="3"/>
  <c r="F133" i="2" s="1"/>
  <c r="I16" i="3"/>
  <c r="F67" i="2" s="1"/>
  <c r="I15" i="3"/>
  <c r="F194" i="2" s="1"/>
  <c r="I11" i="3"/>
  <c r="F64" i="2" s="1"/>
  <c r="I9" i="3"/>
  <c r="F11" i="2" s="1"/>
  <c r="I8" i="3"/>
  <c r="F138" i="2" s="1"/>
  <c r="I14" i="3"/>
  <c r="F178" i="2" s="1"/>
  <c r="I13" i="3"/>
  <c r="F97" i="2" s="1"/>
  <c r="I12" i="3"/>
  <c r="F81" i="2" s="1"/>
  <c r="I7" i="3"/>
  <c r="F157" i="2" s="1"/>
  <c r="I22" i="3"/>
  <c r="F141" i="2" s="1"/>
  <c r="I6" i="3"/>
  <c r="F201" i="2" s="1"/>
  <c r="I10" i="3"/>
  <c r="F111" i="2" s="1"/>
  <c r="I21" i="3"/>
  <c r="F73" i="2" s="1"/>
  <c r="I5" i="3"/>
  <c r="F120" i="2" s="1"/>
  <c r="I20" i="3"/>
  <c r="F162" i="2" s="1"/>
  <c r="I4" i="3"/>
  <c r="F30" i="2" s="1"/>
  <c r="F149" i="2" l="1"/>
  <c r="F165" i="2"/>
  <c r="F24" i="2"/>
  <c r="F186" i="2"/>
  <c r="F184" i="2"/>
  <c r="F143" i="2"/>
  <c r="F39" i="2"/>
  <c r="F156" i="2"/>
  <c r="F172" i="2"/>
  <c r="F131" i="2"/>
  <c r="F35" i="2"/>
  <c r="F161" i="2"/>
  <c r="F191" i="2"/>
  <c r="F43" i="2"/>
  <c r="F78" i="2"/>
  <c r="F160" i="2"/>
  <c r="F91" i="2"/>
  <c r="F187" i="2"/>
  <c r="F129" i="2"/>
  <c r="F193" i="2"/>
  <c r="F181" i="2"/>
  <c r="F197" i="2"/>
  <c r="F159" i="2"/>
  <c r="F46" i="2"/>
  <c r="F175" i="2"/>
  <c r="F4" i="2"/>
  <c r="F20" i="2"/>
  <c r="F94" i="2"/>
  <c r="F57" i="2"/>
  <c r="F52" i="2"/>
  <c r="F188" i="2"/>
  <c r="F3" i="2"/>
  <c r="F40" i="2"/>
  <c r="F61" i="2"/>
  <c r="F126" i="2"/>
  <c r="F83" i="2"/>
  <c r="F25" i="2"/>
  <c r="F9" i="2"/>
  <c r="F89" i="2"/>
  <c r="F59" i="2"/>
  <c r="F190" i="2"/>
  <c r="F51" i="2"/>
  <c r="F105" i="2"/>
  <c r="F137" i="2"/>
  <c r="F75" i="2"/>
  <c r="F173" i="2"/>
  <c r="F99" i="2"/>
  <c r="F189" i="2"/>
  <c r="F199" i="2"/>
  <c r="F26" i="2"/>
  <c r="F166" i="2"/>
  <c r="F80" i="2"/>
  <c r="F56" i="2"/>
  <c r="F58" i="2"/>
  <c r="F150" i="2"/>
  <c r="F112" i="2"/>
  <c r="F170" i="2"/>
  <c r="F128" i="2"/>
  <c r="F113" i="2"/>
  <c r="F107" i="2"/>
  <c r="F110" i="2"/>
  <c r="F200" i="2"/>
  <c r="F144" i="2"/>
  <c r="F195" i="2"/>
  <c r="F177" i="2"/>
  <c r="F87" i="2"/>
  <c r="F169" i="2"/>
  <c r="F18" i="2"/>
  <c r="F185" i="2"/>
  <c r="F36" i="2"/>
  <c r="F139" i="2"/>
  <c r="F136" i="2"/>
  <c r="F13" i="2"/>
  <c r="F119" i="2"/>
  <c r="F142" i="2"/>
  <c r="F163" i="2"/>
  <c r="F176" i="2"/>
  <c r="F50" i="2"/>
  <c r="F68" i="2"/>
  <c r="F155" i="2"/>
  <c r="F12" i="2"/>
  <c r="F29" i="2"/>
  <c r="F158" i="2"/>
  <c r="F192" i="2"/>
  <c r="F102" i="2"/>
  <c r="F19" i="2"/>
  <c r="F66" i="2"/>
  <c r="F147" i="2"/>
  <c r="F84" i="2"/>
  <c r="F5" i="2"/>
  <c r="F62" i="2"/>
  <c r="F123" i="2"/>
  <c r="F42" i="2"/>
  <c r="F171" i="2"/>
  <c r="F28" i="2"/>
  <c r="F38" i="2"/>
  <c r="F45" i="2"/>
  <c r="F174" i="2"/>
  <c r="F121" i="2"/>
  <c r="F15" i="2"/>
  <c r="F115" i="2"/>
  <c r="F82" i="2"/>
  <c r="F100" i="2"/>
  <c r="F21" i="2"/>
  <c r="F98" i="2"/>
  <c r="F116" i="2"/>
  <c r="F37" i="2"/>
  <c r="F34" i="2"/>
  <c r="F179" i="2"/>
  <c r="F74" i="2"/>
  <c r="F168" i="2"/>
  <c r="F60" i="2"/>
  <c r="F77" i="2"/>
  <c r="F47" i="2"/>
  <c r="F23" i="2"/>
  <c r="F17" i="2"/>
  <c r="F114" i="2"/>
  <c r="F132" i="2"/>
  <c r="F53" i="2"/>
  <c r="F90" i="2"/>
  <c r="F76" i="2"/>
  <c r="F93" i="2"/>
  <c r="F63" i="2"/>
  <c r="F135" i="2"/>
  <c r="F33" i="2"/>
  <c r="F104" i="2"/>
  <c r="F130" i="2"/>
  <c r="F148" i="2"/>
  <c r="F69" i="2"/>
  <c r="F88" i="2"/>
  <c r="F31" i="2"/>
  <c r="F198" i="2"/>
  <c r="F92" i="2"/>
  <c r="F109" i="2"/>
  <c r="F54" i="2"/>
  <c r="F79" i="2"/>
  <c r="F118" i="2"/>
  <c r="F16" i="2"/>
  <c r="F49" i="2"/>
  <c r="F6" i="2"/>
  <c r="F146" i="2"/>
  <c r="F183" i="2"/>
  <c r="F103" i="2"/>
  <c r="F164" i="2"/>
  <c r="F85" i="2"/>
  <c r="F96" i="2"/>
  <c r="F145" i="2"/>
  <c r="F8" i="2"/>
  <c r="F108" i="2"/>
  <c r="F41" i="2"/>
  <c r="F95" i="2"/>
  <c r="F32" i="2"/>
  <c r="F65" i="2"/>
  <c r="F70" i="2"/>
  <c r="F180" i="2"/>
  <c r="F101" i="2"/>
  <c r="F7" i="2"/>
  <c r="F124" i="2"/>
  <c r="F71" i="2"/>
  <c r="F153" i="2"/>
  <c r="F14" i="2"/>
  <c r="F48" i="2"/>
  <c r="F182" i="2"/>
  <c r="F72" i="2"/>
  <c r="F196" i="2"/>
  <c r="F117" i="2"/>
  <c r="F44" i="2"/>
  <c r="F106" i="2"/>
  <c r="F154" i="2"/>
  <c r="F27" i="2"/>
  <c r="F167" i="2"/>
  <c r="F140" i="2"/>
  <c r="F55" i="2"/>
  <c r="F1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C8B34E-3FBF-4D01-B8E5-91EA6C8910CC}"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C2279EAC-2A69-44DE-A461-AC60248EED1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F6EF1F4-86D3-4D94-AB96-359A07606D3A}" name="WorksheetConnection_Elite Retail Hub Sales Report.xlsx!data" type="102" refreshedVersion="8" minRefreshableVersion="5">
    <extLst>
      <ext xmlns:x15="http://schemas.microsoft.com/office/spreadsheetml/2010/11/main" uri="{DE250136-89BD-433C-8126-D09CA5730AF9}">
        <x15:connection id="data" autoDelete="1">
          <x15:rangePr sourceName="_xlcn.WorksheetConnection_EliteRetailHubSalesReport.xlsx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<sst xmlns="http://schemas.openxmlformats.org/spreadsheetml/2006/main" count="1122" uniqueCount="90">
  <si>
    <t>Month</t>
  </si>
  <si>
    <t>Seller</t>
  </si>
  <si>
    <t>Category</t>
  </si>
  <si>
    <t>Product</t>
  </si>
  <si>
    <t>State</t>
  </si>
  <si>
    <t>Quantity</t>
  </si>
  <si>
    <t>Sales</t>
  </si>
  <si>
    <t>Profit</t>
  </si>
  <si>
    <t>May</t>
  </si>
  <si>
    <t>Dave</t>
  </si>
  <si>
    <t>Electronics</t>
  </si>
  <si>
    <t>Smartphone</t>
  </si>
  <si>
    <t>California</t>
  </si>
  <si>
    <t>Nov</t>
  </si>
  <si>
    <t>Frank</t>
  </si>
  <si>
    <t>Clothing</t>
  </si>
  <si>
    <t>Jeans</t>
  </si>
  <si>
    <t>Texas</t>
  </si>
  <si>
    <t>Jun</t>
  </si>
  <si>
    <t>Eve</t>
  </si>
  <si>
    <t>Sports &amp; Fitness</t>
  </si>
  <si>
    <t>Yoga Mat</t>
  </si>
  <si>
    <t>New York</t>
  </si>
  <si>
    <t>Dec</t>
  </si>
  <si>
    <t>Food &amp; Beverages</t>
  </si>
  <si>
    <t>Snacks</t>
  </si>
  <si>
    <t>Feb</t>
  </si>
  <si>
    <t>Jacket</t>
  </si>
  <si>
    <t>Florida</t>
  </si>
  <si>
    <t>Mar</t>
  </si>
  <si>
    <t>Bob</t>
  </si>
  <si>
    <t>Juice</t>
  </si>
  <si>
    <t>Carol</t>
  </si>
  <si>
    <t>Bicycle</t>
  </si>
  <si>
    <t>Illinois</t>
  </si>
  <si>
    <t>Home Appliances</t>
  </si>
  <si>
    <t>Microwave</t>
  </si>
  <si>
    <t>Jan</t>
  </si>
  <si>
    <t>Jul</t>
  </si>
  <si>
    <t>Alice</t>
  </si>
  <si>
    <t>Apr</t>
  </si>
  <si>
    <t>Aug</t>
  </si>
  <si>
    <t>Dumbbells</t>
  </si>
  <si>
    <t>T-Shirt</t>
  </si>
  <si>
    <t>Dishwasher</t>
  </si>
  <si>
    <t>Tea</t>
  </si>
  <si>
    <t>Sweater</t>
  </si>
  <si>
    <t>Headphones</t>
  </si>
  <si>
    <t>Pennsylvania</t>
  </si>
  <si>
    <t>Grace</t>
  </si>
  <si>
    <t>Refrigerator</t>
  </si>
  <si>
    <t>Camera</t>
  </si>
  <si>
    <t>Oct</t>
  </si>
  <si>
    <t>Treadmill</t>
  </si>
  <si>
    <t>Laptop</t>
  </si>
  <si>
    <t>Sep</t>
  </si>
  <si>
    <t>Coffee</t>
  </si>
  <si>
    <t>Toaster</t>
  </si>
  <si>
    <t>NY</t>
  </si>
  <si>
    <t>Months</t>
  </si>
  <si>
    <t>Electr.</t>
  </si>
  <si>
    <t>Cloth.</t>
  </si>
  <si>
    <t>Sp. &amp; Fi.</t>
  </si>
  <si>
    <t>Fo. &amp; Be.</t>
  </si>
  <si>
    <t>Ho. Ap.</t>
  </si>
  <si>
    <t>Cat. Abbr.</t>
  </si>
  <si>
    <t>Prod. Abbr.</t>
  </si>
  <si>
    <t>State Abbr.</t>
  </si>
  <si>
    <t>CL</t>
  </si>
  <si>
    <t>TX</t>
  </si>
  <si>
    <t>IL</t>
  </si>
  <si>
    <t>PN</t>
  </si>
  <si>
    <t>FL</t>
  </si>
  <si>
    <t>State.</t>
  </si>
  <si>
    <t>Product.</t>
  </si>
  <si>
    <t>Category.</t>
  </si>
  <si>
    <t>Profit Margin</t>
  </si>
  <si>
    <t>Total Quantity</t>
  </si>
  <si>
    <t>Total Sales</t>
  </si>
  <si>
    <t>Total Profit</t>
  </si>
  <si>
    <t>Grand Total</t>
  </si>
  <si>
    <t>Sum of Sales</t>
  </si>
  <si>
    <t>Performance by Product Category</t>
  </si>
  <si>
    <t>Performance by Sales Person</t>
  </si>
  <si>
    <t>Category-Product Sales and Profits</t>
  </si>
  <si>
    <t>Sales and Profits by Month</t>
  </si>
  <si>
    <t>Catergory, Product</t>
  </si>
  <si>
    <t>State Contribution</t>
  </si>
  <si>
    <t>Profit Margin by Product Category</t>
  </si>
  <si>
    <t>Cost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</si>
</sst>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5" formatCode="0.00\ %;\-0.00\ %;0.00\ %"/>
    <numFmt numFmtId="168" formatCode="_-[$$-409]* #,##0.00_ ;_-[$$-409]* \-#,##0.00\ ;_-[$$-409]* &quot;-&quot;??_ ;_-@_ "/>
    <numFmt numFmtId="185" formatCode="0\ %;\-0\ %;0\ %"/>
  </numFmts>
  <fonts count="8" x14ac:knownFonts="1">
    <font>
      <sz val="11"/>
      <color theme="1"/>
      <name val="Aptos Narrow"/>
      <family val="2"/>
      <scheme val="minor"/>
    </font>
    <font>
      <sz val="12"/>
      <color theme="1"/>
      <name val="Bahnschrift SemiCondensed"/>
      <family val="2"/>
    </font>
    <font>
      <sz val="14"/>
      <color theme="1"/>
      <name val="Bahnschrift SemiCondensed"/>
      <family val="2"/>
    </font>
    <font>
      <b/>
      <sz val="14"/>
      <color theme="0"/>
      <name val="Bahnschrift SemiCondensed"/>
      <family val="2"/>
    </font>
    <font>
      <sz val="14"/>
      <color theme="1"/>
      <name val="Bahnschrift Light Condensed"/>
      <family val="2"/>
    </font>
    <font>
      <sz val="14"/>
      <color theme="0"/>
      <name val="Bahnschrift Light Condensed"/>
      <family val="2"/>
    </font>
    <font>
      <b/>
      <sz val="14"/>
      <color theme="1"/>
      <name val="Bahnschrift Light Condensed"/>
      <family val="2"/>
    </font>
    <font>
      <b/>
      <sz val="12"/>
      <color theme="1"/>
      <name val="Bahnschrift Light Condensed"/>
      <family val="2"/>
    </font>
  </fonts>
  <fills count="7">
    <fill>
      <patternFill patternType="none"/>
    </fill>
    <fill>
      <patternFill patternType="gray125"/>
    </fill>
    <fill>
      <patternFill patternType="solid">
        <fgColor rgb="FFAA3D4F"/>
        <bgColor indexed="64"/>
      </patternFill>
    </fill>
    <fill>
      <patternFill patternType="solid">
        <fgColor rgb="FF8A8B9A"/>
        <bgColor indexed="64"/>
      </patternFill>
    </fill>
    <fill>
      <patternFill patternType="solid">
        <fgColor rgb="FFE7954D"/>
        <bgColor indexed="64"/>
      </patternFill>
    </fill>
    <fill>
      <patternFill patternType="solid">
        <fgColor rgb="FF181824"/>
        <bgColor indexed="64"/>
      </patternFill>
    </fill>
    <fill>
      <patternFill patternType="solid">
        <fgColor rgb="FF181824"/>
        <bgColor theme="4" tint="-0.249977111117893"/>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theme="4" tint="0.79998168889431442"/>
      </bottom>
      <diagonal/>
    </border>
    <border>
      <left/>
      <right/>
      <top/>
      <bottom style="thin">
        <color theme="4" tint="0.59999389629810485"/>
      </bottom>
      <diagonal/>
    </border>
    <border>
      <left/>
      <right/>
      <top style="thin">
        <color theme="4" tint="0.79998168889431442"/>
      </top>
      <bottom style="thin">
        <color theme="4" tint="0.79998168889431442"/>
      </bottom>
      <diagonal/>
    </border>
    <border>
      <left/>
      <right/>
      <top style="thin">
        <color theme="4" tint="0.79998168889431442"/>
      </top>
      <bottom/>
      <diagonal/>
    </border>
  </borders>
  <cellStyleXfs count="1">
    <xf numFmtId="0" fontId="0" fillId="0" borderId="0"/>
  </cellStyleXfs>
  <cellXfs count="31">
    <xf numFmtId="0" fontId="0" fillId="0" borderId="0" xfId="0"/>
    <xf numFmtId="0" fontId="1" fillId="0" borderId="0" xfId="0" applyFont="1"/>
    <xf numFmtId="0" fontId="1" fillId="3" borderId="0" xfId="0" applyFont="1" applyFill="1"/>
    <xf numFmtId="0" fontId="1" fillId="5" borderId="0" xfId="0" applyFont="1" applyFill="1"/>
    <xf numFmtId="0" fontId="2" fillId="0" borderId="0" xfId="0" applyFont="1"/>
    <xf numFmtId="0" fontId="3" fillId="2" borderId="1" xfId="0" applyFont="1" applyFill="1" applyBorder="1"/>
    <xf numFmtId="0" fontId="2" fillId="0" borderId="1" xfId="0" applyFont="1" applyBorder="1"/>
    <xf numFmtId="0" fontId="4" fillId="0" borderId="1" xfId="0" applyFont="1" applyFill="1" applyBorder="1" applyAlignment="1">
      <alignment horizontal="right"/>
    </xf>
    <xf numFmtId="0" fontId="4" fillId="0" borderId="0" xfId="0" applyFont="1"/>
    <xf numFmtId="43" fontId="4" fillId="0" borderId="1" xfId="0" applyNumberFormat="1" applyFont="1" applyBorder="1"/>
    <xf numFmtId="10" fontId="4" fillId="0" borderId="1" xfId="0" applyNumberFormat="1" applyFont="1" applyBorder="1"/>
    <xf numFmtId="0" fontId="4" fillId="0" borderId="0" xfId="0" pivotButton="1" applyFont="1"/>
    <xf numFmtId="0" fontId="4" fillId="0" borderId="0" xfId="0" applyFont="1" applyAlignment="1">
      <alignment horizontal="left"/>
    </xf>
    <xf numFmtId="0" fontId="4" fillId="0" borderId="0" xfId="0" applyNumberFormat="1" applyFont="1"/>
    <xf numFmtId="165" fontId="4" fillId="0" borderId="0" xfId="0" applyNumberFormat="1" applyFont="1"/>
    <xf numFmtId="0" fontId="4" fillId="0" borderId="0" xfId="0" applyFont="1" applyAlignment="1">
      <alignment horizontal="right"/>
    </xf>
    <xf numFmtId="0" fontId="6" fillId="4" borderId="0" xfId="0" applyFont="1" applyFill="1" applyAlignment="1">
      <alignment horizontal="center"/>
    </xf>
    <xf numFmtId="2" fontId="4" fillId="0" borderId="0" xfId="0" applyNumberFormat="1" applyFont="1"/>
    <xf numFmtId="0" fontId="5" fillId="6" borderId="2" xfId="0" applyFont="1" applyFill="1" applyBorder="1"/>
    <xf numFmtId="0" fontId="5" fillId="6" borderId="3" xfId="0" applyFont="1" applyFill="1" applyBorder="1" applyAlignment="1">
      <alignment horizontal="right"/>
    </xf>
    <xf numFmtId="0" fontId="4" fillId="0" borderId="4" xfId="0" applyFont="1" applyBorder="1" applyAlignment="1">
      <alignment horizontal="left"/>
    </xf>
    <xf numFmtId="2" fontId="4" fillId="0" borderId="4" xfId="0" applyNumberFormat="1" applyFont="1" applyBorder="1"/>
    <xf numFmtId="0" fontId="4" fillId="0" borderId="5" xfId="0" applyFont="1" applyBorder="1" applyAlignment="1">
      <alignment horizontal="left"/>
    </xf>
    <xf numFmtId="2" fontId="4" fillId="0" borderId="5" xfId="0" applyNumberFormat="1" applyFont="1" applyBorder="1"/>
    <xf numFmtId="168" fontId="4" fillId="0" borderId="1" xfId="0" applyNumberFormat="1" applyFont="1" applyBorder="1"/>
    <xf numFmtId="0" fontId="7" fillId="4" borderId="0" xfId="0" applyFont="1" applyFill="1" applyAlignment="1">
      <alignment horizontal="center"/>
    </xf>
    <xf numFmtId="165" fontId="4" fillId="0" borderId="5" xfId="0" applyNumberFormat="1" applyFont="1" applyBorder="1"/>
    <xf numFmtId="185" fontId="4" fillId="0" borderId="0" xfId="0" applyNumberFormat="1" applyFont="1"/>
    <xf numFmtId="185" fontId="4" fillId="0" borderId="5" xfId="0" applyNumberFormat="1" applyFont="1" applyBorder="1"/>
    <xf numFmtId="185" fontId="0" fillId="0" borderId="0" xfId="0" applyNumberFormat="1"/>
    <xf numFmtId="185" fontId="5" fillId="6" borderId="2" xfId="0" applyNumberFormat="1" applyFont="1" applyFill="1" applyBorder="1"/>
  </cellXfs>
  <cellStyles count="1">
    <cellStyle name="Normal" xfId="0" builtinId="0"/>
  </cellStyles>
  <dxfs count="1817">
    <dxf>
      <numFmt numFmtId="184" formatCode="0.0\ %;\-0.0\ %;0.0\ %"/>
    </dxf>
    <dxf>
      <numFmt numFmtId="185" formatCode="0\ %;\-0\ %;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4" formatCode="0.0\ %;\-0.0\ %;0.0\ %"/>
    </dxf>
    <dxf>
      <numFmt numFmtId="185" formatCode="0\ %;\-0\ %;0\ %"/>
    </dxf>
    <dxf>
      <numFmt numFmtId="185" formatCode="0\ %;\-0\ %;0\ %"/>
    </dxf>
    <dxf>
      <numFmt numFmtId="184" formatCode="0.0\ %;\-0.0\ %;0.0\ %"/>
    </dxf>
    <dxf>
      <numFmt numFmtId="184" formatCode="0.0\ %;\-0.0\ %;0.0\ %"/>
    </dxf>
    <dxf>
      <numFmt numFmtId="185" formatCode="0\ %;\-0\ %;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4" formatCode="0.0\ %;\-0.0\ %;0.0\ %"/>
    </dxf>
    <dxf>
      <numFmt numFmtId="184" formatCode="0.0\ %;\-0.0\ %;0.0\ %"/>
    </dxf>
    <dxf>
      <numFmt numFmtId="185" formatCode="0\ %;\-0\ %;0\ %"/>
    </dxf>
    <dxf>
      <numFmt numFmtId="185" formatCode="0\ %;\-0\ %;0\ %"/>
    </dxf>
    <dxf>
      <numFmt numFmtId="184" formatCode="0.0\ %;\-0.0\ %;0.0\ %"/>
    </dxf>
    <dxf>
      <numFmt numFmtId="184" formatCode="0.0\ %;\-0.0\ %;0.0\ %"/>
    </dxf>
    <dxf>
      <numFmt numFmtId="185" formatCode="0\ %;\-0\ %;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4" formatCode="0.0\ %;\-0.0\ %;0.0\ %"/>
    </dxf>
    <dxf>
      <numFmt numFmtId="184" formatCode="0.0\ %;\-0.0\ %;0.0\ %"/>
    </dxf>
    <dxf>
      <numFmt numFmtId="185" formatCode="0\ %;\-0\ %;0\ %"/>
    </dxf>
    <dxf>
      <numFmt numFmtId="185" formatCode="0\ %;\-0\ %;0\ %"/>
    </dxf>
    <dxf>
      <numFmt numFmtId="184" formatCode="0.0\ %;\-0.0\ %;0.0\ %"/>
    </dxf>
    <dxf>
      <numFmt numFmtId="184" formatCode="0.0\ %;\-0.0\ %;0.0\ %"/>
    </dxf>
    <dxf>
      <numFmt numFmtId="185" formatCode="0\ %;\-0\ %;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4" formatCode="0.0\ %;\-0.0\ %;0.0\ %"/>
    </dxf>
    <dxf>
      <numFmt numFmtId="184" formatCode="0.0\ %;\-0.0\ %;0.0\ %"/>
    </dxf>
    <dxf>
      <numFmt numFmtId="165" formatCode="0.00\ %;\-0.00\ %;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5" formatCode="0.00\ %;\-0.00\ %;0.00\ %"/>
    </dxf>
    <dxf>
      <numFmt numFmtId="184" formatCode="0.0\ %;\-0.0\ %;0.0\ %"/>
    </dxf>
    <dxf>
      <numFmt numFmtId="165" formatCode="0.00\ %;\-0.00\ %;0.00\ %"/>
    </dxf>
    <dxf>
      <numFmt numFmtId="165" formatCode="0.00\ %;\-0.00\ %;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5" formatCode="0.00\ %;\-0.00\ %;0.00\ %"/>
    </dxf>
    <dxf>
      <numFmt numFmtId="165" formatCode="0.00\ %;\-0.00\ %;0.00\ %"/>
    </dxf>
    <dxf>
      <numFmt numFmtId="184" formatCode="0.0\ %;\-0.0\ %;0.0\ %"/>
    </dxf>
    <dxf>
      <numFmt numFmtId="165" formatCode="0.00\ %;\-0.00\ %;0.00\ %"/>
    </dxf>
    <dxf>
      <numFmt numFmtId="165" formatCode="0.00\ %;\-0.00\ %;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5" formatCode="0.00\ %;\-0.00\ %;0.00\ %"/>
    </dxf>
    <dxf>
      <numFmt numFmtId="165" formatCode="0.00\ %;\-0.00\ %;0.00\ %"/>
    </dxf>
    <dxf>
      <numFmt numFmtId="184" formatCode="0.0\ %;\-0.0\ %;0.0\ %"/>
    </dxf>
    <dxf>
      <numFmt numFmtId="165" formatCode="0.00\ %;\-0.00\ %;0.00\ %"/>
    </dxf>
    <dxf>
      <numFmt numFmtId="165" formatCode="0.00\ %;\-0.00\ %;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5" formatCode="0.00\ %;\-0.00\ %;0.00\ %"/>
    </dxf>
    <dxf>
      <numFmt numFmtId="165" formatCode="0.00\ %;\-0.00\ %;0.00\ %"/>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numFmt numFmtId="165" formatCode="0.00\ %;\-0.00\ %;0.00\ %"/>
    </dxf>
    <dxf>
      <numFmt numFmtId="183" formatCode="0.000\ %;\-0.000\ %;0.000\ %"/>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numFmt numFmtId="183" formatCode="0.000\ %;\-0.000\ %;0.000\ %"/>
    </dxf>
    <dxf>
      <numFmt numFmtId="165" formatCode="0.00\ %;\-0.00\ %;0.00\ %"/>
    </dxf>
    <dxf>
      <numFmt numFmtId="183" formatCode="0.000\ %;\-0.000\ %;0.000\ %"/>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numFmt numFmtId="183" formatCode="0.000\ %;\-0.000\ %;0.000\ %"/>
    </dxf>
    <dxf>
      <numFmt numFmtId="165" formatCode="0.00\ %;\-0.00\ %;0.00\ %"/>
    </dxf>
    <dxf>
      <numFmt numFmtId="183" formatCode="0.000\ %;\-0.000\ %;0.000\ %"/>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83" formatCode="0.000\ %;\-0.000\ %;0.000\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E7954D"/>
        </patternFill>
      </fill>
    </dxf>
    <dxf>
      <fill>
        <patternFill patternType="solid">
          <bgColor rgb="FFE7954D"/>
        </patternFill>
      </fill>
    </dxf>
    <dxf>
      <alignment horizontal="right"/>
    </dxf>
    <dxf>
      <numFmt numFmtId="35" formatCode="_-* #,##0.00_-;\-* #,##0.00_-;_-* &quot;-&quot;??_-;_-@_-"/>
    </dxf>
    <dxf>
      <font>
        <name val="Bahnschrift Light SemiCondensed"/>
        <scheme val="none"/>
      </font>
    </dxf>
    <dxf>
      <font>
        <name val="Bahnschrift Light SemiCondensed"/>
        <scheme val="none"/>
      </font>
    </dxf>
    <dxf>
      <font>
        <sz val="14"/>
      </font>
    </dxf>
    <dxf>
      <font>
        <sz val="14"/>
      </font>
    </dxf>
    <dxf>
      <numFmt numFmtId="14" formatCode="0.00\ %"/>
    </dxf>
    <dxf>
      <fill>
        <patternFill patternType="none">
          <bgColor auto="1"/>
        </patternFill>
      </fill>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numFmt numFmtId="168" formatCode="_-[$$-409]* #,##0.00_ ;_-[$$-409]* \-#,##0.00\ ;_-[$$-409]* &quot;-&quot;??_ ;_-@_ "/>
    </dxf>
    <dxf>
      <numFmt numFmtId="168" formatCode="_-[$$-409]* #,##0.00_ ;_-[$$-409]* \-#,##0.00\ ;_-[$$-409]* &quot;-&quot;??_ ;_-@_ "/>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font>
        <sz val="14"/>
      </font>
    </dxf>
    <dxf>
      <font>
        <sz val="14"/>
      </font>
    </dxf>
    <dxf>
      <alignment horizontal="right"/>
    </dxf>
    <dxf>
      <numFmt numFmtId="168" formatCode="_-[$$-409]* #,##0.00_ ;_-[$$-409]* \-#,##0.00\ ;_-[$$-409]* &quot;-&quot;??_ ;_-@_ "/>
    </dxf>
    <dxf>
      <numFmt numFmtId="168" formatCode="_-[$$-409]* #,##0.00_ ;_-[$$-409]* \-#,##0.00\ ;_-[$$-409]* &quot;-&quot;??_ ;_-@_ "/>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font>
        <b/>
        <i val="0"/>
        <sz val="11"/>
        <color rgb="FFAA3D4F"/>
        <name val="Bahnschrift Light Condensed"/>
        <family val="2"/>
      </font>
      <border>
        <bottom style="thin">
          <color theme="5"/>
        </bottom>
        <vertical/>
        <horizontal/>
      </border>
    </dxf>
    <dxf>
      <font>
        <sz val="11"/>
        <name val="Bahnschrift Light Condensed"/>
        <family val="2"/>
      </font>
      <fill>
        <patternFill>
          <bgColor rgb="FFE7954D"/>
        </patternFill>
      </fill>
      <border>
        <left style="thin">
          <color rgb="FFAA3D4F"/>
        </left>
        <right style="thin">
          <color rgb="FFAA3D4F"/>
        </right>
        <top style="thin">
          <color rgb="FFAA3D4F"/>
        </top>
        <bottom style="thin">
          <color rgb="FFAA3D4F"/>
        </bottom>
      </border>
    </dxf>
    <dxf>
      <font>
        <b val="0"/>
        <i val="0"/>
        <strike val="0"/>
        <condense val="0"/>
        <extend val="0"/>
        <outline val="0"/>
        <shadow val="0"/>
        <u val="none"/>
        <vertAlign val="baseline"/>
        <sz val="14"/>
        <color theme="1"/>
        <name val="Bahnschrift Light Condensed"/>
        <family val="2"/>
        <scheme val="none"/>
      </font>
      <numFmt numFmtId="2" formatCode="0.00"/>
      <border diagonalUp="0" diagonalDown="0">
        <left/>
        <right/>
        <top style="thin">
          <color theme="4" tint="0.79998168889431442"/>
        </top>
        <bottom style="thin">
          <color theme="4" tint="0.79998168889431442"/>
        </bottom>
        <vertical/>
        <horizontal/>
      </border>
    </dxf>
    <dxf>
      <font>
        <b val="0"/>
        <i val="0"/>
        <strike val="0"/>
        <condense val="0"/>
        <extend val="0"/>
        <outline val="0"/>
        <shadow val="0"/>
        <u val="none"/>
        <vertAlign val="baseline"/>
        <sz val="14"/>
        <color theme="1"/>
        <name val="Bahnschrift Light Condensed"/>
        <family val="2"/>
        <scheme val="none"/>
      </font>
      <alignment horizontal="left" vertical="bottom" textRotation="0" wrapText="0" indent="0" justifyLastLine="0" shrinkToFit="0" readingOrder="0"/>
      <border diagonalUp="0" diagonalDown="0">
        <left/>
        <right/>
        <top style="thin">
          <color theme="4" tint="0.79998168889431442"/>
        </top>
        <bottom style="thin">
          <color theme="4" tint="0.79998168889431442"/>
        </bottom>
        <vertical/>
        <horizontal/>
      </border>
    </dxf>
    <dxf>
      <border outline="0">
        <bottom style="thin">
          <color theme="4" tint="0.79998168889431442"/>
        </bottom>
      </border>
    </dxf>
    <dxf>
      <numFmt numFmtId="2" formatCode="0.00"/>
    </dxf>
    <dxf>
      <numFmt numFmtId="2" formatCode="0.00"/>
    </dxf>
    <dxf>
      <alignment horizontal="right"/>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5117038483843"/>
          <bgColor rgb="FF8A8B9A"/>
        </patternFill>
      </fill>
      <border>
        <bottom style="thin">
          <color theme="4"/>
        </bottom>
      </border>
    </dxf>
    <dxf>
      <font>
        <color auto="1"/>
      </font>
      <fill>
        <patternFill patternType="solid">
          <fgColor theme="4" tint="0.39991454817346722"/>
          <bgColor theme="0" tint="-0.2499465926084170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6795556505021"/>
          <bgColor rgb="FF8A8B9A"/>
        </patternFill>
      </fill>
    </dxf>
    <dxf>
      <font>
        <b/>
        <color theme="0"/>
      </font>
      <fill>
        <patternFill patternType="solid">
          <fgColor theme="4" tint="0.39994506668294322"/>
          <bgColor rgb="FFE7954D"/>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color theme="0"/>
      </font>
      <fill>
        <patternFill>
          <bgColor rgb="FF181824"/>
        </patternFill>
      </fill>
      <border>
        <top style="double">
          <color theme="4" tint="-0.249977111117893"/>
        </top>
      </border>
    </dxf>
    <dxf>
      <font>
        <color theme="0"/>
      </font>
      <fill>
        <patternFill patternType="solid">
          <fgColor theme="4" tint="-0.249977111117893"/>
          <bgColor rgb="FF181824"/>
        </patternFill>
      </fill>
      <border>
        <horizontal style="thin">
          <color theme="4" tint="-0.249977111117893"/>
        </horizontal>
      </border>
    </dxf>
    <dxf>
      <font>
        <color theme="1"/>
      </font>
      <border>
        <horizontal style="thin">
          <color theme="4" tint="0.79998168889431442"/>
        </horizontal>
      </border>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sz val="14"/>
      </font>
    </dxf>
    <dxf>
      <font>
        <sz val="14"/>
      </font>
    </dxf>
    <dxf>
      <font>
        <sz val="14"/>
      </font>
    </dxf>
    <dxf>
      <font>
        <sz val="14"/>
      </font>
    </dxf>
    <dxf>
      <alignment horizontal="right"/>
    </dxf>
    <dxf>
      <alignment horizontal="right"/>
    </dxf>
    <dxf>
      <alignment horizontal="right"/>
    </dxf>
    <dxf>
      <alignment horizontal="righ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ont>
        <name val="Bahnschrift Light Condensed"/>
        <scheme val="none"/>
      </font>
    </dxf>
    <dxf>
      <fill>
        <patternFill patternType="none">
          <bgColor auto="1"/>
        </patternFill>
      </fill>
    </dxf>
    <dxf>
      <numFmt numFmtId="14" formatCode="0.00\ %"/>
    </dxf>
    <dxf>
      <font>
        <strike val="0"/>
        <outline val="0"/>
        <shadow val="0"/>
        <u val="none"/>
        <vertAlign val="baseline"/>
        <sz val="14"/>
        <color theme="1"/>
        <name val="Bahnschrift SemiCondensed"/>
        <family val="2"/>
        <scheme val="none"/>
      </font>
    </dxf>
    <dxf>
      <font>
        <strike val="0"/>
        <outline val="0"/>
        <shadow val="0"/>
        <u val="none"/>
        <vertAlign val="baseline"/>
        <sz val="14"/>
        <color theme="1"/>
        <name val="Bahnschrift SemiCondensed"/>
        <family val="2"/>
        <scheme val="none"/>
      </font>
    </dxf>
    <dxf>
      <font>
        <strike val="0"/>
        <outline val="0"/>
        <shadow val="0"/>
        <u val="none"/>
        <vertAlign val="baseline"/>
        <sz val="14"/>
        <color theme="1"/>
        <name val="Bahnschrift SemiCondensed"/>
        <family val="2"/>
        <scheme val="none"/>
      </font>
    </dxf>
    <dxf>
      <font>
        <b val="0"/>
        <i val="0"/>
        <strike val="0"/>
        <condense val="0"/>
        <extend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b val="0"/>
        <i val="0"/>
        <strike val="0"/>
        <condense val="0"/>
        <extend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b val="0"/>
        <i val="0"/>
        <strike val="0"/>
        <condense val="0"/>
        <extend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numFmt numFmtId="0" formatCode="General"/>
    </dxf>
    <dxf>
      <font>
        <strike val="0"/>
        <outline val="0"/>
        <shadow val="0"/>
        <u val="none"/>
        <vertAlign val="baseline"/>
        <sz val="14"/>
        <color theme="1"/>
        <name val="Bahnschrift SemiCondensed"/>
        <family val="2"/>
        <scheme val="none"/>
      </font>
    </dxf>
    <dxf>
      <font>
        <strike val="0"/>
        <outline val="0"/>
        <shadow val="0"/>
        <u val="none"/>
        <vertAlign val="baseline"/>
        <sz val="14"/>
        <color theme="1"/>
        <name val="Bahnschrift SemiCondensed"/>
        <family val="2"/>
        <scheme val="none"/>
      </font>
    </dxf>
    <dxf>
      <font>
        <sz val="14"/>
      </font>
    </dxf>
    <dxf>
      <font>
        <sz val="14"/>
      </font>
    </dxf>
    <dxf>
      <font>
        <name val="Bahnschrift Light SemiCondensed"/>
        <scheme val="none"/>
      </font>
    </dxf>
    <dxf>
      <font>
        <name val="Bahnschrift Light SemiCondensed"/>
        <scheme val="none"/>
      </font>
    </dxf>
    <dxf>
      <numFmt numFmtId="35" formatCode="_-* #,##0.00_-;\-* #,##0.00_-;_-* &quot;-&quot;??_-;_-@_-"/>
    </dxf>
    <dxf>
      <alignment horizontal="right"/>
    </dxf>
    <dxf>
      <fill>
        <patternFill patternType="solid">
          <bgColor rgb="FFE7954D"/>
        </patternFill>
      </fill>
    </dxf>
    <dxf>
      <fill>
        <patternFill patternType="solid">
          <bgColor rgb="FFE7954D"/>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Medium2 2">
    <tableStyle name="PivotStyleMedium2 2" table="0" count="16" xr9:uid="{5C0B34FA-5C54-42D5-8C8C-9634B1997A65}">
      <tableStyleElement type="wholeTable" dxfId="1728"/>
      <tableStyleElement type="headerRow" dxfId="1727"/>
      <tableStyleElement type="totalRow" dxfId="1726"/>
      <tableStyleElement type="firstRowStripe" dxfId="1725"/>
      <tableStyleElement type="firstColumnStripe" dxfId="1724"/>
      <tableStyleElement type="firstHeaderCell" dxfId="1723"/>
      <tableStyleElement type="firstSubtotalRow" dxfId="1722"/>
      <tableStyleElement type="secondSubtotalRow" dxfId="1721"/>
      <tableStyleElement type="firstColumnSubheading" dxfId="1720"/>
      <tableStyleElement type="firstRowSubheading" dxfId="1719"/>
      <tableStyleElement type="secondRowSubheading" dxfId="1718"/>
      <tableStyleElement type="pageFieldLabels" dxfId="1717"/>
      <tableStyleElement type="pageFieldValues" dxfId="1716"/>
    </tableStyle>
    <tableStyle name="SlicerStyleDark2 2" pivot="0" table="0" count="10" xr9:uid="{D42B3993-F3C3-4E05-B549-5F381A16B511}">
      <tableStyleElement type="wholeTable" dxfId="1709"/>
      <tableStyleElement type="headerRow" dxfId="1708"/>
    </tableStyle>
  </tableStyles>
  <colors>
    <mruColors>
      <color rgb="FF181824"/>
      <color rgb="FF8A8B9A"/>
      <color rgb="FFE7954D"/>
      <color rgb="FFAA3D4F"/>
      <color rgb="FFFF9966"/>
      <color rgb="FFFFCC99"/>
      <color rgb="FFFFCC66"/>
    </mruColors>
  </colors>
  <extLst>
    <ext xmlns:x14="http://schemas.microsoft.com/office/spreadsheetml/2009/9/main" uri="{46F421CA-312F-682f-3DD2-61675219B42D}">
      <x14:dxfs count="8">
        <dxf>
          <font>
            <sz val="10"/>
            <color rgb="FF000000"/>
            <name val="Bahnschrift Light Condensed"/>
            <family val="2"/>
          </font>
          <fill>
            <patternFill patternType="solid">
              <fgColor auto="1"/>
              <bgColor rgb="FFFFCC66"/>
            </patternFill>
          </fill>
          <border>
            <left style="thin">
              <color rgb="FF999999"/>
            </left>
            <right style="thin">
              <color rgb="FF999999"/>
            </right>
            <top style="thin">
              <color rgb="FF999999"/>
            </top>
            <bottom style="thin">
              <color rgb="FF999999"/>
            </bottom>
            <vertical/>
            <horizontal/>
          </border>
        </dxf>
        <dxf>
          <font>
            <sz val="10"/>
            <color rgb="FF000000"/>
            <name val="Bahnschrift Light Condensed"/>
            <family val="2"/>
          </font>
          <fill>
            <patternFill patternType="none">
              <fgColor auto="1"/>
              <bgColor auto="1"/>
            </patternFill>
          </fill>
          <border>
            <left style="thin">
              <color rgb="FF999999"/>
            </left>
            <right style="thin">
              <color rgb="FF999999"/>
            </right>
            <top style="thin">
              <color rgb="FF999999"/>
            </top>
            <bottom style="thin">
              <color rgb="FF999999"/>
            </bottom>
            <vertical/>
            <horizontal/>
          </border>
        </dxf>
        <dxf>
          <font>
            <sz val="10"/>
            <color rgb="FF000000"/>
            <name val="Bahnschrift Light Condensed"/>
            <family val="2"/>
          </font>
          <fill>
            <patternFill patternType="solid">
              <fgColor auto="1"/>
              <bgColor rgb="FFFF9966"/>
            </patternFill>
          </fill>
          <border>
            <left style="thin">
              <color rgb="FF999999"/>
            </left>
            <right style="thin">
              <color rgb="FF999999"/>
            </right>
            <top style="thin">
              <color rgb="FF999999"/>
            </top>
            <bottom style="thin">
              <color rgb="FF999999"/>
            </bottom>
            <vertical/>
            <horizontal/>
          </border>
        </dxf>
        <dxf>
          <font>
            <sz val="10"/>
            <color rgb="FF000000"/>
            <name val="Bahnschrift Light Condensed"/>
            <family val="2"/>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sz val="10"/>
            <color rgb="FF181824"/>
            <name val="Bahnschrift Light Condensed"/>
            <family val="2"/>
          </font>
          <fill>
            <patternFill patternType="solid">
              <fgColor theme="5" tint="0.59999389629810485"/>
              <bgColor theme="5" tint="0.39994506668294322"/>
            </patternFill>
          </fill>
          <border diagonalUp="0" diagonalDown="0">
            <left/>
            <right/>
            <top/>
            <bottom/>
            <vertical/>
            <horizontal/>
          </border>
        </dxf>
        <dxf>
          <font>
            <sz val="10"/>
            <color theme="0"/>
            <name val="Bahnschrift Light Condensed"/>
            <family val="2"/>
          </font>
          <fill>
            <patternFill patternType="solid">
              <fgColor theme="5"/>
              <bgColor rgb="FFAA3D4F"/>
            </patternFill>
          </fill>
          <border diagonalUp="0" diagonalDown="0">
            <left/>
            <right/>
            <top/>
            <bottom/>
            <vertical/>
            <horizontal/>
          </border>
        </dxf>
        <dxf>
          <font>
            <sz val="10"/>
            <color rgb="FF959595"/>
            <name val="Bahnschrift Light Condensed"/>
            <family val="2"/>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0"/>
            <color rgb="FF000000"/>
            <name val="Bahnschrift Light Condensed"/>
            <family val="2"/>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2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Report.xlsx]Analysis!sales_profit_by_month</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A8B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8A8B9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A3D4F"/>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Bahnschrift SemiCondensed" panose="020B0502040204020203" pitchFamily="34" charset="0"/>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7954D"/>
            </a:solidFill>
            <a:round/>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Bahnschrift SemiCondensed" panose="020B0502040204020203" pitchFamily="34" charset="0"/>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c:f>
              <c:strCache>
                <c:ptCount val="1"/>
                <c:pt idx="0">
                  <c:v>Total Sales</c:v>
                </c:pt>
              </c:strCache>
            </c:strRef>
          </c:tx>
          <c:spPr>
            <a:solidFill>
              <a:srgbClr val="AA3D4F"/>
            </a:solidFill>
            <a:ln>
              <a:noFill/>
            </a:ln>
            <a:effectLst/>
          </c:spPr>
          <c:invertIfNegative val="0"/>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Analysis!$B$9:$B$21</c:f>
              <c:numCache>
                <c:formatCode>0.00</c:formatCode>
                <c:ptCount val="12"/>
                <c:pt idx="0">
                  <c:v>113697.64</c:v>
                </c:pt>
                <c:pt idx="1">
                  <c:v>97653.54</c:v>
                </c:pt>
                <c:pt idx="2">
                  <c:v>69469.649999999994</c:v>
                </c:pt>
                <c:pt idx="3">
                  <c:v>117785.47</c:v>
                </c:pt>
                <c:pt idx="4">
                  <c:v>51206.01</c:v>
                </c:pt>
                <c:pt idx="5">
                  <c:v>111064.26</c:v>
                </c:pt>
                <c:pt idx="6">
                  <c:v>94539.45</c:v>
                </c:pt>
                <c:pt idx="7">
                  <c:v>62616.81</c:v>
                </c:pt>
                <c:pt idx="8">
                  <c:v>65562.06</c:v>
                </c:pt>
                <c:pt idx="9">
                  <c:v>87670.03</c:v>
                </c:pt>
                <c:pt idx="10">
                  <c:v>63912.19</c:v>
                </c:pt>
                <c:pt idx="11">
                  <c:v>45963.1</c:v>
                </c:pt>
              </c:numCache>
            </c:numRef>
          </c:val>
          <c:extLst>
            <c:ext xmlns:c16="http://schemas.microsoft.com/office/drawing/2014/chart" uri="{C3380CC4-5D6E-409C-BE32-E72D297353CC}">
              <c16:uniqueId val="{00000000-E675-48FE-A081-8C6A66F8EBB0}"/>
            </c:ext>
          </c:extLst>
        </c:ser>
        <c:dLbls>
          <c:showLegendKey val="0"/>
          <c:showVal val="0"/>
          <c:showCatName val="0"/>
          <c:showSerName val="0"/>
          <c:showPercent val="0"/>
          <c:showBubbleSize val="0"/>
        </c:dLbls>
        <c:gapWidth val="31"/>
        <c:overlap val="23"/>
        <c:axId val="274745760"/>
        <c:axId val="269451648"/>
      </c:barChart>
      <c:lineChart>
        <c:grouping val="standard"/>
        <c:varyColors val="0"/>
        <c:ser>
          <c:idx val="1"/>
          <c:order val="1"/>
          <c:tx>
            <c:strRef>
              <c:f>Analysis!$C$8</c:f>
              <c:strCache>
                <c:ptCount val="1"/>
                <c:pt idx="0">
                  <c:v>Total Profit</c:v>
                </c:pt>
              </c:strCache>
            </c:strRef>
          </c:tx>
          <c:spPr>
            <a:ln w="28575" cap="rnd">
              <a:solidFill>
                <a:srgbClr val="E7954D"/>
              </a:solidFill>
              <a:round/>
            </a:ln>
            <a:effectLst/>
          </c:spPr>
          <c:marker>
            <c:symbol val="none"/>
          </c:marker>
          <c:cat>
            <c:strRef>
              <c:f>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Analysis!$C$9:$C$21</c:f>
              <c:numCache>
                <c:formatCode>0.00</c:formatCode>
                <c:ptCount val="12"/>
                <c:pt idx="0">
                  <c:v>46639.99</c:v>
                </c:pt>
                <c:pt idx="1">
                  <c:v>40084.160000000003</c:v>
                </c:pt>
                <c:pt idx="2">
                  <c:v>28621.84</c:v>
                </c:pt>
                <c:pt idx="3">
                  <c:v>57158.5</c:v>
                </c:pt>
                <c:pt idx="4">
                  <c:v>24074.78</c:v>
                </c:pt>
                <c:pt idx="5">
                  <c:v>44431.75</c:v>
                </c:pt>
                <c:pt idx="6">
                  <c:v>45810.01</c:v>
                </c:pt>
                <c:pt idx="7">
                  <c:v>33871.339999999997</c:v>
                </c:pt>
                <c:pt idx="8">
                  <c:v>32213.51</c:v>
                </c:pt>
                <c:pt idx="9">
                  <c:v>38316.69</c:v>
                </c:pt>
                <c:pt idx="10">
                  <c:v>35866.94</c:v>
                </c:pt>
                <c:pt idx="11">
                  <c:v>20931.13</c:v>
                </c:pt>
              </c:numCache>
            </c:numRef>
          </c:val>
          <c:smooth val="1"/>
          <c:extLst>
            <c:ext xmlns:c16="http://schemas.microsoft.com/office/drawing/2014/chart" uri="{C3380CC4-5D6E-409C-BE32-E72D297353CC}">
              <c16:uniqueId val="{00000001-E675-48FE-A081-8C6A66F8EBB0}"/>
            </c:ext>
          </c:extLst>
        </c:ser>
        <c:dLbls>
          <c:showLegendKey val="0"/>
          <c:showVal val="0"/>
          <c:showCatName val="0"/>
          <c:showSerName val="0"/>
          <c:showPercent val="0"/>
          <c:showBubbleSize val="0"/>
        </c:dLbls>
        <c:marker val="1"/>
        <c:smooth val="0"/>
        <c:axId val="274745760"/>
        <c:axId val="269451648"/>
      </c:lineChart>
      <c:catAx>
        <c:axId val="274745760"/>
        <c:scaling>
          <c:orientation val="minMax"/>
        </c:scaling>
        <c:delete val="0"/>
        <c:axPos val="b"/>
        <c:numFmt formatCode="General" sourceLinked="1"/>
        <c:majorTickMark val="out"/>
        <c:minorTickMark val="out"/>
        <c:tickLblPos val="nextTo"/>
        <c:spPr>
          <a:noFill/>
          <a:ln w="9525" cap="flat" cmpd="sng" algn="ctr">
            <a:solidFill>
              <a:srgbClr val="AA3D4F"/>
            </a:solidFill>
            <a:round/>
          </a:ln>
          <a:effectLst/>
        </c:spPr>
        <c:txPr>
          <a:bodyPr rot="-60000000" spcFirstLastPara="1" vertOverflow="ellipsis" vert="horz" wrap="square" anchor="ctr" anchorCtr="1"/>
          <a:lstStyle/>
          <a:p>
            <a:pPr>
              <a:defRPr sz="1050" b="0" i="0" u="none" strike="noStrike" kern="1200" baseline="0">
                <a:solidFill>
                  <a:srgbClr val="181824"/>
                </a:solidFill>
                <a:latin typeface="Bahnschrift SemiCondensed" panose="020B0502040204020203" pitchFamily="34" charset="0"/>
                <a:ea typeface="+mn-ea"/>
                <a:cs typeface="+mn-cs"/>
              </a:defRPr>
            </a:pPr>
            <a:endParaRPr lang="en-FI"/>
          </a:p>
        </c:txPr>
        <c:crossAx val="269451648"/>
        <c:crosses val="autoZero"/>
        <c:auto val="1"/>
        <c:lblAlgn val="ctr"/>
        <c:lblOffset val="100"/>
        <c:noMultiLvlLbl val="0"/>
      </c:catAx>
      <c:valAx>
        <c:axId val="269451648"/>
        <c:scaling>
          <c:orientation val="minMax"/>
          <c:max val="12000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181824"/>
                </a:solidFill>
                <a:latin typeface="Bahnschrift SemiCondensed" panose="020B0502040204020203" pitchFamily="34" charset="0"/>
                <a:ea typeface="+mn-ea"/>
                <a:cs typeface="+mn-cs"/>
              </a:defRPr>
            </a:pPr>
            <a:endParaRPr lang="en-FI"/>
          </a:p>
        </c:txPr>
        <c:crossAx val="274745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rgbClr val="181824"/>
              </a:solidFill>
              <a:latin typeface="Bahnschrift SemiCondensed" panose="020B0502040204020203" pitchFamily="34" charset="0"/>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alpha val="12000"/>
      </a:srgbClr>
    </a:solidFill>
    <a:ln w="15875" cap="flat" cmpd="sng" algn="ctr">
      <a:solidFill>
        <a:srgbClr val="AA3D4F">
          <a:alpha val="77000"/>
        </a:srgbClr>
      </a:solidFill>
      <a:round/>
    </a:ln>
    <a:effectLst/>
  </c:spPr>
  <c:txPr>
    <a:bodyPr/>
    <a:lstStyle/>
    <a:p>
      <a:pPr>
        <a:defRPr sz="1100">
          <a:latin typeface="Bahnschrift SemiCondensed" panose="020B0502040204020203" pitchFamily="34" charset="0"/>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Report.xlsx]Analysis!salesperson_performance</c:name>
    <c:fmtId val="5"/>
  </c:pivotSource>
  <c:chart>
    <c:title>
      <c:tx>
        <c:rich>
          <a:bodyPr rot="0" spcFirstLastPara="1" vertOverflow="ellipsis" vert="horz" wrap="square" anchor="ctr" anchorCtr="1"/>
          <a:lstStyle/>
          <a:p>
            <a:pPr>
              <a:defRPr lang="en-US" sz="1200" b="0" i="0" u="none" strike="noStrike" kern="1200" spc="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r>
              <a:rPr lang="en-US" sz="1200"/>
              <a:t>Salespersons Performance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A3D4F"/>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7954D"/>
          </a:solidFill>
          <a:ln>
            <a:noFill/>
          </a:ln>
          <a:effectLst/>
        </c:spPr>
        <c:marker>
          <c:symbol val="none"/>
        </c:marker>
        <c:dLbl>
          <c:idx val="0"/>
          <c:spPr>
            <a:noFill/>
            <a:ln>
              <a:noFill/>
            </a:ln>
            <a:effectLst/>
          </c:spPr>
          <c:txPr>
            <a:bodyPr rot="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Analysis!$L$8</c:f>
              <c:strCache>
                <c:ptCount val="1"/>
                <c:pt idx="0">
                  <c:v>Total Sales</c:v>
                </c:pt>
              </c:strCache>
            </c:strRef>
          </c:tx>
          <c:spPr>
            <a:solidFill>
              <a:srgbClr val="AA3D4F"/>
            </a:solidFill>
            <a:ln>
              <a:noFill/>
            </a:ln>
            <a:effectLst/>
          </c:spPr>
          <c:invertIfNegative val="0"/>
          <c:cat>
            <c:strRef>
              <c:f>Analysis!$K$9:$K$16</c:f>
              <c:strCache>
                <c:ptCount val="7"/>
                <c:pt idx="0">
                  <c:v>Alice</c:v>
                </c:pt>
                <c:pt idx="1">
                  <c:v>Bob</c:v>
                </c:pt>
                <c:pt idx="2">
                  <c:v>Carol</c:v>
                </c:pt>
                <c:pt idx="3">
                  <c:v>Dave</c:v>
                </c:pt>
                <c:pt idx="4">
                  <c:v>Eve</c:v>
                </c:pt>
                <c:pt idx="5">
                  <c:v>Frank</c:v>
                </c:pt>
                <c:pt idx="6">
                  <c:v>Grace</c:v>
                </c:pt>
              </c:strCache>
            </c:strRef>
          </c:cat>
          <c:val>
            <c:numRef>
              <c:f>Analysis!$L$9:$L$16</c:f>
              <c:numCache>
                <c:formatCode>General</c:formatCode>
                <c:ptCount val="7"/>
                <c:pt idx="0">
                  <c:v>148639.22</c:v>
                </c:pt>
                <c:pt idx="1">
                  <c:v>170973.18</c:v>
                </c:pt>
                <c:pt idx="2">
                  <c:v>146463.47</c:v>
                </c:pt>
                <c:pt idx="3">
                  <c:v>146424.48000000001</c:v>
                </c:pt>
                <c:pt idx="4">
                  <c:v>123672.96000000001</c:v>
                </c:pt>
                <c:pt idx="5">
                  <c:v>106484.04</c:v>
                </c:pt>
                <c:pt idx="6">
                  <c:v>138482.85999999999</c:v>
                </c:pt>
              </c:numCache>
            </c:numRef>
          </c:val>
          <c:extLst>
            <c:ext xmlns:c16="http://schemas.microsoft.com/office/drawing/2014/chart" uri="{C3380CC4-5D6E-409C-BE32-E72D297353CC}">
              <c16:uniqueId val="{00000000-B0DD-4EC1-B39E-6D9210E4BEC4}"/>
            </c:ext>
          </c:extLst>
        </c:ser>
        <c:ser>
          <c:idx val="1"/>
          <c:order val="1"/>
          <c:tx>
            <c:strRef>
              <c:f>Analysis!$M$8</c:f>
              <c:strCache>
                <c:ptCount val="1"/>
                <c:pt idx="0">
                  <c:v>Total Profit</c:v>
                </c:pt>
              </c:strCache>
            </c:strRef>
          </c:tx>
          <c:spPr>
            <a:solidFill>
              <a:srgbClr val="E7954D"/>
            </a:solidFill>
            <a:ln>
              <a:noFill/>
            </a:ln>
            <a:effectLst/>
          </c:spPr>
          <c:invertIfNegative val="0"/>
          <c:cat>
            <c:strRef>
              <c:f>Analysis!$K$9:$K$16</c:f>
              <c:strCache>
                <c:ptCount val="7"/>
                <c:pt idx="0">
                  <c:v>Alice</c:v>
                </c:pt>
                <c:pt idx="1">
                  <c:v>Bob</c:v>
                </c:pt>
                <c:pt idx="2">
                  <c:v>Carol</c:v>
                </c:pt>
                <c:pt idx="3">
                  <c:v>Dave</c:v>
                </c:pt>
                <c:pt idx="4">
                  <c:v>Eve</c:v>
                </c:pt>
                <c:pt idx="5">
                  <c:v>Frank</c:v>
                </c:pt>
                <c:pt idx="6">
                  <c:v>Grace</c:v>
                </c:pt>
              </c:strCache>
            </c:strRef>
          </c:cat>
          <c:val>
            <c:numRef>
              <c:f>Analysis!$M$9:$M$16</c:f>
              <c:numCache>
                <c:formatCode>General</c:formatCode>
                <c:ptCount val="7"/>
                <c:pt idx="0">
                  <c:v>68976.39</c:v>
                </c:pt>
                <c:pt idx="1">
                  <c:v>67730.429999999993</c:v>
                </c:pt>
                <c:pt idx="2">
                  <c:v>75659.25</c:v>
                </c:pt>
                <c:pt idx="3">
                  <c:v>51504.74</c:v>
                </c:pt>
                <c:pt idx="4">
                  <c:v>54599.55</c:v>
                </c:pt>
                <c:pt idx="5">
                  <c:v>51216.38</c:v>
                </c:pt>
                <c:pt idx="6">
                  <c:v>78333.899999999994</c:v>
                </c:pt>
              </c:numCache>
            </c:numRef>
          </c:val>
          <c:extLst>
            <c:ext xmlns:c16="http://schemas.microsoft.com/office/drawing/2014/chart" uri="{C3380CC4-5D6E-409C-BE32-E72D297353CC}">
              <c16:uniqueId val="{00000001-B0DD-4EC1-B39E-6D9210E4BEC4}"/>
            </c:ext>
          </c:extLst>
        </c:ser>
        <c:dLbls>
          <c:showLegendKey val="0"/>
          <c:showVal val="0"/>
          <c:showCatName val="0"/>
          <c:showSerName val="0"/>
          <c:showPercent val="0"/>
          <c:showBubbleSize val="0"/>
        </c:dLbls>
        <c:gapWidth val="23"/>
        <c:overlap val="100"/>
        <c:axId val="271696448"/>
        <c:axId val="271696928"/>
      </c:barChart>
      <c:catAx>
        <c:axId val="271696448"/>
        <c:scaling>
          <c:orientation val="minMax"/>
        </c:scaling>
        <c:delete val="0"/>
        <c:axPos val="r"/>
        <c:numFmt formatCode="General" sourceLinked="1"/>
        <c:majorTickMark val="none"/>
        <c:minorTickMark val="none"/>
        <c:tickLblPos val="nextTo"/>
        <c:spPr>
          <a:noFill/>
          <a:ln w="9525" cap="flat" cmpd="sng" algn="ctr">
            <a:solidFill>
              <a:srgbClr val="AA3D4F"/>
            </a:solidFill>
            <a:round/>
          </a:ln>
          <a:effectLst/>
        </c:spPr>
        <c:txPr>
          <a:bodyPr rot="-6000000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crossAx val="271696928"/>
        <c:crosses val="autoZero"/>
        <c:auto val="1"/>
        <c:lblAlgn val="ctr"/>
        <c:lblOffset val="100"/>
        <c:noMultiLvlLbl val="0"/>
      </c:catAx>
      <c:valAx>
        <c:axId val="271696928"/>
        <c:scaling>
          <c:orientation val="maxMin"/>
          <c:max val="255000"/>
          <c:min val="0"/>
        </c:scaling>
        <c:delete val="0"/>
        <c:axPos val="b"/>
        <c:numFmt formatCode="General" sourceLinked="1"/>
        <c:majorTickMark val="out"/>
        <c:minorTickMark val="out"/>
        <c:tickLblPos val="nextTo"/>
        <c:spPr>
          <a:noFill/>
          <a:ln>
            <a:solidFill>
              <a:srgbClr val="E7954D"/>
            </a:solidFill>
          </a:ln>
          <a:effectLst/>
        </c:spPr>
        <c:txPr>
          <a:bodyPr rot="-540000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crossAx val="271696448"/>
        <c:crosses val="autoZero"/>
        <c:crossBetween val="between"/>
        <c:majorUnit val="25000"/>
        <c:dispUnits>
          <c:builtInUnit val="thousands"/>
          <c:dispUnitsLbl>
            <c:spPr>
              <a:noFill/>
              <a:ln>
                <a:noFill/>
              </a:ln>
              <a:effectLst/>
            </c:spPr>
            <c:txPr>
              <a:bodyPr rot="0" spcFirstLastPara="1" vertOverflow="ellipsis" vert="horz" wrap="square" anchor="ctr" anchorCtr="1"/>
              <a:lstStyle/>
              <a:p>
                <a:pPr>
                  <a:defRPr lang="en-US" sz="1100" b="0" i="0" u="none" strike="noStrike" kern="1200"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1824">
        <a:alpha val="80000"/>
      </a:srgbClr>
    </a:solidFill>
    <a:ln w="15875" cap="flat" cmpd="sng" algn="ctr">
      <a:solidFill>
        <a:srgbClr val="E7954D">
          <a:alpha val="79000"/>
        </a:srgbClr>
      </a:solidFill>
      <a:round/>
    </a:ln>
    <a:effectLst/>
  </c:spPr>
  <c:txPr>
    <a:bodyPr/>
    <a:lstStyle/>
    <a:p>
      <a:pPr>
        <a:defRPr lang="en-US" sz="1100" b="0" i="0" u="none" strike="noStrike" baseline="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[Elite Retail Hub Sales Report.xlsx]Analysis!cat._prod._by_sale_n_profit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A3D4F"/>
          </a:solidFill>
          <a:ln>
            <a:noFill/>
          </a:ln>
          <a:effectLst/>
        </c:spPr>
        <c:marker>
          <c:symbol val="none"/>
        </c:marker>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E7954D"/>
          </a:solidFill>
          <a:ln>
            <a:noFill/>
          </a:ln>
          <a:effectLst/>
        </c:spPr>
        <c:marker>
          <c:symbol val="none"/>
        </c:marker>
        <c:dLbl>
          <c:idx val="0"/>
          <c:spPr>
            <a:noFill/>
            <a:ln>
              <a:noFill/>
            </a:ln>
            <a:effectLst/>
          </c:spPr>
          <c:txPr>
            <a:bodyPr rot="0" spcFirstLastPara="1" vertOverflow="clip" horzOverflow="clip" vert="horz" wrap="square" anchor="ctr" anchorCtr="1"/>
            <a:lstStyle/>
            <a:p>
              <a:pPr>
                <a:defRPr lang="en-US" sz="1000" b="0" i="0" u="none" strike="noStrike" kern="1200" baseline="0">
                  <a:solidFill>
                    <a:srgbClr val="AA3D4F"/>
                  </a:solidFill>
                  <a:latin typeface="Bahnschrift SemiCondensed" panose="020B0502040204020203" pitchFamily="34" charset="0"/>
                  <a:ea typeface="+mn-ea"/>
                  <a:cs typeface="+mn-cs"/>
                </a:defRPr>
              </a:pPr>
              <a:endParaRPr lang="en-FI"/>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030933633295838"/>
                  <c:h val="3.6231897840122422E-2"/>
                </c:manualLayout>
              </c15:layout>
            </c:ext>
          </c:extLst>
        </c:dLbl>
      </c:pivotFmt>
      <c:pivotFmt>
        <c:idx val="7"/>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557142857142856"/>
                  <c:h val="3.6231897840122422E-2"/>
                </c:manualLayout>
              </c15:layout>
            </c:ext>
          </c:extLst>
        </c:dLbl>
      </c:pivotFmt>
      <c:pivotFmt>
        <c:idx val="8"/>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00952380952381"/>
                  <c:h val="3.6231897840122422E-2"/>
                </c:manualLayout>
              </c15:layout>
            </c:ext>
          </c:extLst>
        </c:dLbl>
      </c:pivotFmt>
      <c:pivotFmt>
        <c:idx val="9"/>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2"/>
                  <c:h val="3.6231897840122422E-2"/>
                </c:manualLayout>
              </c15:layout>
            </c:ext>
          </c:extLst>
        </c:dLbl>
      </c:pivotFmt>
      <c:pivotFmt>
        <c:idx val="10"/>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514285714285715"/>
                  <c:h val="3.6231897840122422E-2"/>
                </c:manualLayout>
              </c15:layout>
            </c:ext>
          </c:extLst>
        </c:dLbl>
      </c:pivotFmt>
      <c:pivotFmt>
        <c:idx val="11"/>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190476190476189"/>
                  <c:h val="3.6231897840122422E-2"/>
                </c:manualLayout>
              </c15:layout>
            </c:ext>
          </c:extLst>
        </c:dLbl>
      </c:pivotFmt>
      <c:pivotFmt>
        <c:idx val="12"/>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419047619047618"/>
                  <c:h val="3.6231897840122422E-2"/>
                </c:manualLayout>
              </c15:layout>
            </c:ext>
          </c:extLst>
        </c:dLbl>
      </c:pivotFmt>
      <c:pivotFmt>
        <c:idx val="13"/>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21188601424822"/>
                  <c:h val="3.6231897840122422E-2"/>
                </c:manualLayout>
              </c15:layout>
            </c:ext>
          </c:extLst>
        </c:dLbl>
      </c:pivotFmt>
      <c:pivotFmt>
        <c:idx val="14"/>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6330971128608923"/>
                  <c:h val="3.6231897840122422E-2"/>
                </c:manualLayout>
              </c15:layout>
            </c:ext>
          </c:extLst>
        </c:dLbl>
      </c:pivotFmt>
      <c:pivotFmt>
        <c:idx val="15"/>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004761904761905"/>
                  <c:h val="3.6231897840122422E-2"/>
                </c:manualLayout>
              </c15:layout>
            </c:ext>
          </c:extLst>
        </c:dLbl>
      </c:pivotFmt>
      <c:pivotFmt>
        <c:idx val="16"/>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371428571428573"/>
                  <c:h val="3.6231897840122422E-2"/>
                </c:manualLayout>
              </c15:layout>
            </c:ext>
          </c:extLst>
        </c:dLbl>
      </c:pivotFmt>
      <c:pivotFmt>
        <c:idx val="17"/>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976190476190475"/>
                  <c:h val="3.6231897840122422E-2"/>
                </c:manualLayout>
              </c15:layout>
            </c:ext>
          </c:extLst>
        </c:dLbl>
      </c:pivotFmt>
      <c:pivotFmt>
        <c:idx val="18"/>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559542557180352"/>
                  <c:h val="3.6231897840122422E-2"/>
                </c:manualLayout>
              </c15:layout>
            </c:ext>
          </c:extLst>
        </c:dLbl>
      </c:pivotFmt>
      <c:pivotFmt>
        <c:idx val="19"/>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204761904761906"/>
                  <c:h val="3.6231897840122422E-2"/>
                </c:manualLayout>
              </c15:layout>
            </c:ext>
          </c:extLst>
        </c:dLbl>
      </c:pivotFmt>
      <c:pivotFmt>
        <c:idx val="20"/>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859505061867265"/>
                  <c:h val="3.6231897840122422E-2"/>
                </c:manualLayout>
              </c15:layout>
            </c:ext>
          </c:extLst>
        </c:dLbl>
      </c:pivotFmt>
      <c:pivotFmt>
        <c:idx val="21"/>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17379077615298"/>
                  <c:h val="3.6231897840122422E-2"/>
                </c:manualLayout>
              </c15:layout>
            </c:ext>
          </c:extLst>
        </c:dLbl>
      </c:pivotFmt>
      <c:pivotFmt>
        <c:idx val="22"/>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738095238095237"/>
                  <c:h val="3.6231897840122422E-2"/>
                </c:manualLayout>
              </c15:layout>
            </c:ext>
          </c:extLst>
        </c:dLbl>
      </c:pivotFmt>
      <c:pivotFmt>
        <c:idx val="23"/>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8926171728533933"/>
                  <c:h val="3.6231897840122422E-2"/>
                </c:manualLayout>
              </c15:layout>
            </c:ext>
          </c:extLst>
        </c:dLbl>
      </c:pivotFmt>
      <c:pivotFmt>
        <c:idx val="24"/>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9492875890513686"/>
                  <c:h val="3.6231897840122422E-2"/>
                </c:manualLayout>
              </c15:layout>
            </c:ext>
          </c:extLst>
        </c:dLbl>
      </c:pivotFmt>
      <c:pivotFmt>
        <c:idx val="25"/>
        <c:dLbl>
          <c:idx val="0"/>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17595238095238094"/>
                  <c:h val="3.6231897840122422E-2"/>
                </c:manualLayout>
              </c15:layout>
            </c:ext>
          </c:extLst>
        </c:dLbl>
      </c:pivotFmt>
    </c:pivotFmts>
    <c:plotArea>
      <c:layout>
        <c:manualLayout>
          <c:layoutTarget val="inner"/>
          <c:xMode val="edge"/>
          <c:yMode val="edge"/>
          <c:x val="1.4285714285714285E-2"/>
          <c:y val="5.0049849766004705E-2"/>
          <c:w val="0.68916610423697033"/>
          <c:h val="0.92897330783723531"/>
        </c:manualLayout>
      </c:layout>
      <c:barChart>
        <c:barDir val="bar"/>
        <c:grouping val="stacked"/>
        <c:varyColors val="0"/>
        <c:ser>
          <c:idx val="0"/>
          <c:order val="0"/>
          <c:tx>
            <c:strRef>
              <c:f>Analysis!$Q$8</c:f>
              <c:strCache>
                <c:ptCount val="1"/>
                <c:pt idx="0">
                  <c:v>Total</c:v>
                </c:pt>
              </c:strCache>
            </c:strRef>
          </c:tx>
          <c:spPr>
            <a:solidFill>
              <a:srgbClr val="AA3D4F"/>
            </a:solidFill>
            <a:ln>
              <a:noFill/>
            </a:ln>
            <a:effectLst/>
          </c:spPr>
          <c:invertIfNegative val="0"/>
          <c:dLbls>
            <c:numFmt formatCode="General" sourceLinked="0"/>
            <c:spPr>
              <a:noFill/>
              <a:ln>
                <a:noFill/>
              </a:ln>
              <a:effectLst/>
            </c:spPr>
            <c:txPr>
              <a:bodyPr rot="0" spcFirstLastPara="1" vertOverflow="clip" horzOverflow="clip" vert="horz" wrap="square" anchor="ctr" anchorCtr="0">
                <a:noAutofit/>
              </a:bodyPr>
              <a:lstStyle/>
              <a:p>
                <a:pPr algn="ctr">
                  <a:defRPr lang="en-US" sz="1000" b="0" i="0" u="none" strike="noStrike" kern="1200" baseline="0">
                    <a:solidFill>
                      <a:srgbClr val="8A8B9A"/>
                    </a:solidFill>
                    <a:latin typeface="Bahnschrift SemiCondensed" panose="020B0502040204020203" pitchFamily="34" charset="0"/>
                    <a:ea typeface="+mn-ea"/>
                    <a:cs typeface="+mn-cs"/>
                  </a:defRPr>
                </a:pPr>
                <a:endParaRPr lang="en-FI"/>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Analysis!$P$9:$P$14</c:f>
              <c:strCache>
                <c:ptCount val="5"/>
                <c:pt idx="0">
                  <c:v>Cloth.</c:v>
                </c:pt>
                <c:pt idx="1">
                  <c:v>Electr.</c:v>
                </c:pt>
                <c:pt idx="2">
                  <c:v>Sp. &amp; Fi.</c:v>
                </c:pt>
                <c:pt idx="3">
                  <c:v>Fo. &amp; Be.</c:v>
                </c:pt>
                <c:pt idx="4">
                  <c:v>Ho. Ap.</c:v>
                </c:pt>
              </c:strCache>
            </c:strRef>
          </c:cat>
          <c:val>
            <c:numRef>
              <c:f>Analysis!$Q$9:$Q$14</c:f>
              <c:numCache>
                <c:formatCode>0.00</c:formatCode>
                <c:ptCount val="5"/>
                <c:pt idx="0">
                  <c:v>188231.41</c:v>
                </c:pt>
                <c:pt idx="1">
                  <c:v>195290.75</c:v>
                </c:pt>
                <c:pt idx="2">
                  <c:v>237437.73</c:v>
                </c:pt>
                <c:pt idx="3">
                  <c:v>170206.58</c:v>
                </c:pt>
                <c:pt idx="4">
                  <c:v>189973.74</c:v>
                </c:pt>
              </c:numCache>
            </c:numRef>
          </c:val>
          <c:extLst>
            <c:ext xmlns:c16="http://schemas.microsoft.com/office/drawing/2014/chart" uri="{C3380CC4-5D6E-409C-BE32-E72D297353CC}">
              <c16:uniqueId val="{00000000-8813-49FF-A584-9AD27686B791}"/>
            </c:ext>
          </c:extLst>
        </c:ser>
        <c:dLbls>
          <c:showLegendKey val="0"/>
          <c:showVal val="1"/>
          <c:showCatName val="0"/>
          <c:showSerName val="0"/>
          <c:showPercent val="0"/>
          <c:showBubbleSize val="0"/>
        </c:dLbls>
        <c:gapWidth val="20"/>
        <c:overlap val="100"/>
        <c:axId val="275672128"/>
        <c:axId val="275670208"/>
      </c:barChart>
      <c:catAx>
        <c:axId val="275672128"/>
        <c:scaling>
          <c:orientation val="minMax"/>
        </c:scaling>
        <c:delete val="0"/>
        <c:axPos val="r"/>
        <c:numFmt formatCode="General" sourceLinked="1"/>
        <c:majorTickMark val="out"/>
        <c:minorTickMark val="out"/>
        <c:tickLblPos val="nextTo"/>
        <c:spPr>
          <a:noFill/>
          <a:ln w="9525" cap="flat" cmpd="sng" algn="ctr">
            <a:solidFill>
              <a:srgbClr val="AA3D4F"/>
            </a:solidFill>
            <a:round/>
          </a:ln>
          <a:effectLst/>
        </c:spPr>
        <c:txPr>
          <a:bodyPr rot="-60000000" spcFirstLastPara="1" vertOverflow="ellipsis" vert="horz" wrap="square" anchor="ctr" anchorCtr="1"/>
          <a:lstStyle/>
          <a:p>
            <a:pPr>
              <a:defRPr lang="en-US" sz="1100" b="0" i="0" u="none" strike="noStrike" kern="1200" baseline="0">
                <a:solidFill>
                  <a:srgbClr val="181824"/>
                </a:solidFill>
                <a:latin typeface="Bahnschrift SemiCondensed" panose="020B0502040204020203" pitchFamily="34" charset="0"/>
                <a:ea typeface="+mn-ea"/>
                <a:cs typeface="+mn-cs"/>
              </a:defRPr>
            </a:pPr>
            <a:endParaRPr lang="en-FI"/>
          </a:p>
        </c:txPr>
        <c:crossAx val="275670208"/>
        <c:crosses val="autoZero"/>
        <c:auto val="1"/>
        <c:lblAlgn val="ctr"/>
        <c:lblOffset val="100"/>
        <c:noMultiLvlLbl val="0"/>
      </c:catAx>
      <c:valAx>
        <c:axId val="275670208"/>
        <c:scaling>
          <c:orientation val="maxMin"/>
        </c:scaling>
        <c:delete val="1"/>
        <c:axPos val="b"/>
        <c:numFmt formatCode="0.00" sourceLinked="1"/>
        <c:majorTickMark val="out"/>
        <c:minorTickMark val="out"/>
        <c:tickLblPos val="nextTo"/>
        <c:crossAx val="275672128"/>
        <c:crosses val="autoZero"/>
        <c:crossBetween val="between"/>
      </c:valAx>
      <c:spPr>
        <a:solidFill>
          <a:srgbClr val="181824">
            <a:alpha val="80000"/>
          </a:srgb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Bahnschrift SemiCondensed" panose="020B0502040204020203" pitchFamily="34" charset="0"/>
          <a:ea typeface="+mn-ea"/>
          <a:cs typeface="+mn-cs"/>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Analysis!$L$23:$M$23</c:f>
              <c:strCache>
                <c:ptCount val="2"/>
                <c:pt idx="0">
                  <c:v>Profit Margin</c:v>
                </c:pt>
                <c:pt idx="1">
                  <c:v>Cost Margin</c:v>
                </c:pt>
              </c:strCache>
            </c:strRef>
          </c:tx>
          <c:dPt>
            <c:idx val="0"/>
            <c:bubble3D val="0"/>
            <c:spPr>
              <a:solidFill>
                <a:srgbClr val="181824"/>
              </a:solidFill>
              <a:ln w="19050">
                <a:noFill/>
              </a:ln>
              <a:effectLst/>
            </c:spPr>
            <c:extLst>
              <c:ext xmlns:c16="http://schemas.microsoft.com/office/drawing/2014/chart" uri="{C3380CC4-5D6E-409C-BE32-E72D297353CC}">
                <c16:uniqueId val="{00000001-B0DB-47AC-89FD-50E8181203C7}"/>
              </c:ext>
            </c:extLst>
          </c:dPt>
          <c:dPt>
            <c:idx val="1"/>
            <c:bubble3D val="0"/>
            <c:spPr>
              <a:solidFill>
                <a:srgbClr val="8A8B9A">
                  <a:alpha val="0"/>
                </a:srgbClr>
              </a:solidFill>
              <a:ln w="19050">
                <a:noFill/>
              </a:ln>
              <a:effectLst/>
            </c:spPr>
            <c:extLst>
              <c:ext xmlns:c16="http://schemas.microsoft.com/office/drawing/2014/chart" uri="{C3380CC4-5D6E-409C-BE32-E72D297353CC}">
                <c16:uniqueId val="{00000003-B0DB-47AC-89FD-50E8181203C7}"/>
              </c:ext>
            </c:extLst>
          </c:dPt>
          <c:val>
            <c:numRef>
              <c:f>Analysis!$L$24:$M$24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Analysis!$L$23:$M$23</c:f>
              <c:strCache>
                <c:ptCount val="2"/>
                <c:pt idx="0">
                  <c:v>Profit Margin</c:v>
                </c:pt>
                <c:pt idx="1">
                  <c:v>Cost Margin</c:v>
                </c:pt>
              </c:strCache>
            </c:strRef>
          </c:tx>
          <c:dPt>
            <c:idx val="0"/>
            <c:bubble3D val="0"/>
            <c:spPr>
              <a:solidFill>
                <a:srgbClr val="181824"/>
              </a:solidFill>
              <a:ln w="19050">
                <a:noFill/>
              </a:ln>
              <a:effectLst/>
            </c:spPr>
            <c:extLst>
              <c:ext xmlns:c16="http://schemas.microsoft.com/office/drawing/2014/chart" uri="{C3380CC4-5D6E-409C-BE32-E72D297353CC}">
                <c16:uniqueId val="{00000001-B0DB-47AC-89FD-50E8181203C7}"/>
              </c:ext>
            </c:extLst>
          </c:dPt>
          <c:dPt>
            <c:idx val="1"/>
            <c:bubble3D val="0"/>
            <c:spPr>
              <a:solidFill>
                <a:srgbClr val="8A8B9A">
                  <a:alpha val="0"/>
                </a:srgbClr>
              </a:solidFill>
              <a:ln w="19050">
                <a:noFill/>
              </a:ln>
              <a:effectLst/>
            </c:spPr>
            <c:extLst>
              <c:ext xmlns:c16="http://schemas.microsoft.com/office/drawing/2014/chart" uri="{C3380CC4-5D6E-409C-BE32-E72D297353CC}">
                <c16:uniqueId val="{00000003-B0DB-47AC-89FD-50E8181203C7}"/>
              </c:ext>
            </c:extLst>
          </c:dPt>
          <c:val>
            <c:numRef>
              <c:f>Analysis!$L$24:$M$24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Analysis!$L$23:$M$23</c:f>
              <c:strCache>
                <c:ptCount val="2"/>
                <c:pt idx="0">
                  <c:v>Profit Margin</c:v>
                </c:pt>
                <c:pt idx="1">
                  <c:v>Cost Margin</c:v>
                </c:pt>
              </c:strCache>
            </c:strRef>
          </c:tx>
          <c:dPt>
            <c:idx val="0"/>
            <c:bubble3D val="0"/>
            <c:spPr>
              <a:solidFill>
                <a:srgbClr val="181824"/>
              </a:solidFill>
              <a:ln w="19050">
                <a:noFill/>
              </a:ln>
              <a:effectLst/>
            </c:spPr>
            <c:extLst>
              <c:ext xmlns:c16="http://schemas.microsoft.com/office/drawing/2014/chart" uri="{C3380CC4-5D6E-409C-BE32-E72D297353CC}">
                <c16:uniqueId val="{00000001-B0DB-47AC-89FD-50E8181203C7}"/>
              </c:ext>
            </c:extLst>
          </c:dPt>
          <c:dPt>
            <c:idx val="1"/>
            <c:bubble3D val="0"/>
            <c:spPr>
              <a:solidFill>
                <a:srgbClr val="8A8B9A">
                  <a:alpha val="0"/>
                </a:srgbClr>
              </a:solidFill>
              <a:ln w="19050">
                <a:noFill/>
              </a:ln>
              <a:effectLst/>
            </c:spPr>
            <c:extLst>
              <c:ext xmlns:c16="http://schemas.microsoft.com/office/drawing/2014/chart" uri="{C3380CC4-5D6E-409C-BE32-E72D297353CC}">
                <c16:uniqueId val="{00000003-B0DB-47AC-89FD-50E8181203C7}"/>
              </c:ext>
            </c:extLst>
          </c:dPt>
          <c:val>
            <c:numRef>
              <c:f>Analysis!$L$24:$M$24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Analysis!$L$23:$M$23</c:f>
              <c:strCache>
                <c:ptCount val="2"/>
                <c:pt idx="0">
                  <c:v>Profit Margin</c:v>
                </c:pt>
                <c:pt idx="1">
                  <c:v>Cost Margin</c:v>
                </c:pt>
              </c:strCache>
            </c:strRef>
          </c:tx>
          <c:dPt>
            <c:idx val="0"/>
            <c:bubble3D val="0"/>
            <c:spPr>
              <a:solidFill>
                <a:srgbClr val="181824"/>
              </a:solidFill>
              <a:ln w="19050">
                <a:noFill/>
              </a:ln>
              <a:effectLst/>
            </c:spPr>
            <c:extLst>
              <c:ext xmlns:c16="http://schemas.microsoft.com/office/drawing/2014/chart" uri="{C3380CC4-5D6E-409C-BE32-E72D297353CC}">
                <c16:uniqueId val="{00000001-B0DB-47AC-89FD-50E8181203C7}"/>
              </c:ext>
            </c:extLst>
          </c:dPt>
          <c:dPt>
            <c:idx val="1"/>
            <c:bubble3D val="0"/>
            <c:spPr>
              <a:solidFill>
                <a:srgbClr val="8A8B9A">
                  <a:alpha val="0"/>
                </a:srgbClr>
              </a:solidFill>
              <a:ln w="19050">
                <a:noFill/>
              </a:ln>
              <a:effectLst/>
            </c:spPr>
            <c:extLst>
              <c:ext xmlns:c16="http://schemas.microsoft.com/office/drawing/2014/chart" uri="{C3380CC4-5D6E-409C-BE32-E72D297353CC}">
                <c16:uniqueId val="{00000003-B0DB-47AC-89FD-50E8181203C7}"/>
              </c:ext>
            </c:extLst>
          </c:dPt>
          <c:val>
            <c:numRef>
              <c:f>Analysis!$L$24:$M$24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Analysis!$L$23:$M$23</c:f>
              <c:strCache>
                <c:ptCount val="2"/>
                <c:pt idx="0">
                  <c:v>Profit Margin</c:v>
                </c:pt>
                <c:pt idx="1">
                  <c:v>Cost Margin</c:v>
                </c:pt>
              </c:strCache>
            </c:strRef>
          </c:tx>
          <c:dPt>
            <c:idx val="0"/>
            <c:bubble3D val="0"/>
            <c:spPr>
              <a:solidFill>
                <a:srgbClr val="181824"/>
              </a:solidFill>
              <a:ln w="19050">
                <a:noFill/>
              </a:ln>
              <a:effectLst/>
            </c:spPr>
            <c:extLst>
              <c:ext xmlns:c16="http://schemas.microsoft.com/office/drawing/2014/chart" uri="{C3380CC4-5D6E-409C-BE32-E72D297353CC}">
                <c16:uniqueId val="{00000001-B0DB-47AC-89FD-50E8181203C7}"/>
              </c:ext>
            </c:extLst>
          </c:dPt>
          <c:dPt>
            <c:idx val="1"/>
            <c:bubble3D val="0"/>
            <c:spPr>
              <a:solidFill>
                <a:srgbClr val="8A8B9A">
                  <a:alpha val="0"/>
                </a:srgbClr>
              </a:solidFill>
              <a:ln w="19050">
                <a:noFill/>
              </a:ln>
              <a:effectLst/>
            </c:spPr>
            <c:extLst>
              <c:ext xmlns:c16="http://schemas.microsoft.com/office/drawing/2014/chart" uri="{C3380CC4-5D6E-409C-BE32-E72D297353CC}">
                <c16:uniqueId val="{00000003-B0DB-47AC-89FD-50E8181203C7}"/>
              </c:ext>
            </c:extLst>
          </c:dPt>
          <c:val>
            <c:numRef>
              <c:f>Analysis!$L$24:$M$24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4-B0DB-47AC-89FD-50E8181203C7}"/>
            </c:ext>
          </c:extLst>
        </c:ser>
        <c:dLbls>
          <c:showLegendKey val="0"/>
          <c:showVal val="0"/>
          <c:showCatName val="0"/>
          <c:showSerName val="0"/>
          <c:showPercent val="0"/>
          <c:showBubbleSize val="0"/>
          <c:showLeaderLines val="1"/>
        </c:dLbls>
        <c:firstSliceAng val="1"/>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lotArea>
      <c:layout/>
      <c:doughnutChart>
        <c:varyColors val="1"/>
        <c:ser>
          <c:idx val="0"/>
          <c:order val="0"/>
          <c:tx>
            <c:strRef>
              <c:f>Analysis!$L$23:$M$23</c:f>
              <c:strCache>
                <c:ptCount val="2"/>
                <c:pt idx="0">
                  <c:v>Profit Margin</c:v>
                </c:pt>
                <c:pt idx="1">
                  <c:v>Cost Margin</c:v>
                </c:pt>
              </c:strCache>
            </c:strRef>
          </c:tx>
          <c:dPt>
            <c:idx val="0"/>
            <c:bubble3D val="0"/>
            <c:spPr>
              <a:solidFill>
                <a:srgbClr val="E7954D"/>
              </a:solidFill>
              <a:ln w="19050">
                <a:noFill/>
              </a:ln>
              <a:effectLst/>
            </c:spPr>
            <c:extLst>
              <c:ext xmlns:c16="http://schemas.microsoft.com/office/drawing/2014/chart" uri="{C3380CC4-5D6E-409C-BE32-E72D297353CC}">
                <c16:uniqueId val="{00000004-3151-4E6C-ADED-F81C8828B8BC}"/>
              </c:ext>
            </c:extLst>
          </c:dPt>
          <c:dPt>
            <c:idx val="1"/>
            <c:bubble3D val="0"/>
            <c:spPr>
              <a:solidFill>
                <a:srgbClr val="8A8B9A">
                  <a:alpha val="35000"/>
                </a:srgbClr>
              </a:solidFill>
              <a:ln w="19050">
                <a:noFill/>
              </a:ln>
              <a:effectLst/>
            </c:spPr>
            <c:extLst>
              <c:ext xmlns:c16="http://schemas.microsoft.com/office/drawing/2014/chart" uri="{C3380CC4-5D6E-409C-BE32-E72D297353CC}">
                <c16:uniqueId val="{00000003-3151-4E6C-ADED-F81C8828B8BC}"/>
              </c:ext>
            </c:extLst>
          </c:dPt>
          <c:val>
            <c:numRef>
              <c:f>Analysis!$L$24:$M$24</c:f>
              <c:numCache>
                <c:formatCode>0\ %;\-0\ %;0\ %</c:formatCode>
                <c:ptCount val="2"/>
                <c:pt idx="0">
                  <c:v>0.47562423295878192</c:v>
                </c:pt>
                <c:pt idx="1">
                  <c:v>0.52437576704121813</c:v>
                </c:pt>
              </c:numCache>
            </c:numRef>
          </c:val>
          <c:extLst>
            <c:ext xmlns:c16="http://schemas.microsoft.com/office/drawing/2014/chart" uri="{C3380CC4-5D6E-409C-BE32-E72D297353CC}">
              <c16:uniqueId val="{00000002-3151-4E6C-ADED-F81C8828B8BC}"/>
            </c:ext>
          </c:extLst>
        </c:ser>
        <c:dLbls>
          <c:showLegendKey val="0"/>
          <c:showVal val="0"/>
          <c:showCatName val="0"/>
          <c:showSerName val="0"/>
          <c:showPercent val="0"/>
          <c:showBubbleSize val="0"/>
          <c:showLeaderLines val="1"/>
        </c:dLbls>
        <c:firstSliceAng val="1"/>
        <c:holeSize val="43"/>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Contribuition to Total Sales</cx:v>
        </cx:txData>
      </cx:tx>
      <cx:txPr>
        <a:bodyPr spcFirstLastPara="1" vertOverflow="ellipsis" horzOverflow="overflow" wrap="square" lIns="0" tIns="0" rIns="0" bIns="0" anchor="ctr" anchorCtr="1"/>
        <a:lstStyle/>
        <a:p>
          <a:pPr algn="ctr" rtl="0">
            <a:defRPr sz="1200">
              <a:solidFill>
                <a:srgbClr val="E7954D"/>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r>
            <a:rPr lang="en-US" sz="1200" b="0" i="0" u="none" strike="noStrike" baseline="0">
              <a:solidFill>
                <a:srgbClr val="E7954D"/>
              </a:solidFill>
              <a:latin typeface="Bahnschrift SemiCondensed" panose="020B0502040204020203" pitchFamily="34" charset="0"/>
            </a:rPr>
            <a:t>State Contribuition to Total Sales</a:t>
          </a:r>
        </a:p>
      </cx:txPr>
    </cx:title>
    <cx:plotArea>
      <cx:plotAreaRegion>
        <cx:plotSurface>
          <cx:spPr>
            <a:noFill/>
            <a:ln>
              <a:noFill/>
            </a:ln>
          </cx:spPr>
        </cx:plotSurface>
        <cx:series layoutId="regionMap" uniqueId="{5769FC13-A33C-418B-B69E-38E21E3B054F}">
          <cx:tx>
            <cx:txData>
              <cx:f>_xlchart.v5.2</cx:f>
              <cx:v>Total Sales</cx:v>
            </cx:txData>
          </cx:tx>
          <cx:spPr>
            <a:solidFill>
              <a:srgbClr val="8A8B9A">
                <a:alpha val="8000"/>
              </a:srgbClr>
            </a:solidFill>
          </cx:spPr>
          <cx:dataId val="0"/>
          <cx:layoutPr>
            <cx:regionLabelLayout val="none"/>
            <cx:geography cultureLanguage="en-US" cultureRegion="FI" attribution="Powered by Bing">
              <cx:geoCache provider="{E9337A44-BEBE-4D9F-B70C-5C5E7DAFC167}">
                <cx:binary>1HvZjtxGtu2vGHq+lGMORqN9gEtmZo0qDaXStfRClKQyZwYZDI5ffxYry25V2i114xxcoPXgRHGK
iD2uvfb237/Mf/tSPdy7n+a6avq/fZl/eZF53/7t55/7L9lDfd+/rPMvzvb2N//yi61/tr/9ln95
+Pmru5/yJv2ZESp+/pLdO/8wv/ivv+Nr6YO9tl/ufW6bt8ODW9499EPl++/c+8tbP91/rfNml/fe
5V88/eXF+4f5vn/x00Pjc7+8X9qHX148e+TFTz+ffuhPi/5UYV9++Ip3OX0pFA9FSCl5/Edf/FTZ
Jn26HRjzknPOjNbMPP4Lf1/75r7G+z/czuNm7r9+dQ99j8M8/v7x2rOd4+qvL376YofGb+JKIblf
Xtw1uX/4+tOtv/cPOHbe2/j4QGy37d/dPp735+cC/6+/n1yABE6ufKOTU3H96NafVHLzMP300bry
d8n8z7Ui2EvDDROQ/FEr/LlWtHypcEcqKo5aUb+vfdTKv7Kjv1bMP9480c3Nx/9I3cT3Vf6bdU1+
/7uE/ufa4folk0IpQ81f+gyl5qWimmkq6FE9v6991M6/tqe/1s+3755oKP6//5EaOlTW5V//F9XD
wpfSSEkZN8+9JmQvRai5YCH/w6uOcfSol39hJ3+tlD9ePNHI4fo/UiMXVZU3Nv9fzDKCvKRMUCEl
+SOLfJtlQvOSilBxGcrjfWjuW838Kzv6a9X8480T3Vz8Z+rmzUPT9Es13v+vRjToJzQIaOHRLwg5
QQFavwx5GAIF/EN/3+rnX93VX+vo+dsnenrznxHVvg9bjrI6Zp5nT/67aM28lIRLLbj+I4J960dA
a4SGXHHzhAvEcz86QVP/fFt/raiT15+d5P8TVPvnMO4PlLu79/f7R3j8DZL7/t3H4wKxn7z60z8X
0NOti6+/vGACUv4DdG+feLp5zConQjt+8o/3Hu57/8uLQKmXRnOupIb2DBUEgG562G4BR7xELjMk
NFwCdYQA4I11PvvlhaYvuRQa6mYhZfLFT70dtus0BHpkEtiDAoMYAJE/SpI3tlpS2/whjae/f2qG
+o3NG9+jIgDWbI+PbbvcVqSMGEU508rwkGED7Zf7dyh78DT9PxUtXEOnUj6ENPGD2bNWtEEVk3bM
1w9SDm15LwIn+0PTLf0idp7NMpvjwCbkc9o40QSxZXOpL00ml2FXmqDpzidTV/2rStZtsES2nGX7
WZa+mO0OsqoKHqdaC/qgZ7sM76ps1tV9GMo2+cJr3qmbVOVdy6Oa5j22Ilrp6tcZJX5qdmklXdlG
dpJ1fU310mHLaV3T5YrVvCl+C/rR4p1vVPoXQtInMjIEaN1IJbYoCnHBIr6VkaZ1PmQqCx+SyTZF
d+5rUYnzSoy90+drn/p8ite8BVatSJKz5PD95Sk7XV9rrjkKhpBDU9jM8/XXgoe9Iir/WtCSl3ns
LZc8i4xhQVcc3Dylzu9c5lORRYEI1rZ5Mwm+9CymYlUTv/Qqa/oysrbjjt4YGXa49/1NMiSRbw0p
FDIMGQxTSRFy1JsnhtTxpl5t0bC70Ge8aw++Tds+P/MBH3wS8cXBnlD1LIQekmwOEh8zRZeui1zb
ufI+yCiUSGe5XbJd2Zf3lSm0OM+nasalbpmsukm6GU/lGe/xmSWtVX8oA+34oQ3dyPt4mZrWLrsf
HO1E/ziaoQCWlNGQSACdk6P5uaS6Guxyx9OxnMrIu06N79Zqze0XT8KSNdHibbd+0KwJxjKqA0tr
dz6rukqX/Vor6tOD4cEw3cEvHMQx6YLT5pKPK2y2yQMzj2diqlrc6odc4dSsnaAjb+oMC+Y+IfgL
HkYhijoVEIX3Ogt8LKuhWKcoM6zAX0f5pPlsS2DyP8LaX/gAAs5z9SqUq0IzGSLoEASL5zZIp1Wo
RXXB+7HWVncHu+a6umFZOI9ljLiSpc2PLGr75DehKQR1IbgkjCAEEiVO3Y4UNhGqnfX7fqCwEL94
D4PqVg/5iKIVVu6TKbBzH6mKLxB4NSZNeV8LQSClyc2Vf6NVHybFIfEiHN95pdj4ziHnlvdzHUhc
mZte3TypLe2mBqKcq7BB9Fl7sqkjLedNEUGRU/yYpTDjO2Jri53IsoRNl8pvUer70haG/+nwWklO
GKOoM7cw/1zeXAZ9kJJ5eZ9li6qSyA8lb+NkIklxo9gq3LLvMqfaMDKMmSKLnOvy7pJUA59l1NZZ
F1y5tA7Eq6TONI+7yc7pF5JX5HxKBqF2pW5s9VUU1ere1VbV4MJWWk2vxUjJvO7CojGyjTvBRT8c
pkmG443rsmS2kapJTa85cdTsmsYZGhezH1wS2Tns1iLKmtGJOU7ncoQzjKubliqaA1mI4mAYHcSt
qvwi0pjMdJiGs9ZMGU32dklSf+EzTSBOvVbTuiKowRTbi7lckiHq+rZQh9HolO9kHczr+0lZln8Y
RJUmOy48o/ECTsUukUp9b3YmZ1MZp7JKzzXjftdZMq1XiWkIOaMTzdghDfowI/u2tLW4W+SYlsGd
sWSe389+5v5V0PsmeEdEooev0inl7lY9po2NWmtp1r8181qVZ0mO3HZYrQhrG5nScpbF2q19F36m
dRE2XzPW2nHewVSW7sEMfppIXFZTT4tznzSdDHdDSWSlzpI6KNWNoTooy7NRtayvsocsbLiHlGfK
QyderdyOMOmVur7N3nJFvCL7phFtqy8Gk+RZdd3IuezSfTGmfhqvJ5mkeX5IRD0N8l3SMN5dqEJk
aXiArSheRu24EuPiqg/zyURpIFTnd1ni1mK5mNI+yPKzKa9nZePSTAIBdmzzQf5qg0HJ/gLGMQVJ
PPG6R3YZ2rnAR/zCw1m9rpjW+PHHi0GeV7hHDBdYbrW96D6vQ2fYeFko16bsnM5BoHW8FLIc9Nnc
FLSuIinGYJkiIoMcx0m5RFK5n5NFERMXMjMyfb1M7dTqN0USFFN10CUPWHtRDosJx9eq4DI3UWdM
isClnZdZ+UGnSRKsV0JUPSQVLB1C9itE7S6TVwFPnK6uad7ltHpTFFMRJvupQCBI9zanHHtHyNq2
tIxBRdiepNmSdzvSloULd40ngWx+ZSlrsF5dVMbcDWnYdbFTWkOyLBxyZJCYqmz7CPbPXRV1nZkJ
24msx+njNqMNV4cimzaJ8cqX+LF95oPbptZbyBejT0Mdm8lbGMDaMKbOvHE1nmuPR828XCG+rtD4
h1zSJ1ityuiIb9B8Uw9tRcbk/6PVvMm5EaYAkgiGwEEVQVOGmXjoOhSX3cHleYiPTCFddBfnYSaH
ABoUQzd88EUz5A3kFWSrPcuGVdD5VVjobcs5NN2utwqWhRU4bnWfk2DeDEy5YNO8XAJcq0y9iWYc
KR5Fig27CXsYmx7Lxk/ncY7z7jPgVoZrcm6tui2lSAyPxWQWfL7VGYUsnqwnWXuDT+oi2A6X+OVR
GAOsxsWs1yWUY+Qqt794L8tXnOQuuH0SdXB8/HchH59TxcLKV5q1NTZAmyAbP5e5anN3ljd8waE7
tqIFEaWMpzm55USl1kTyqCi7jh6m1vtlcOlFQ82SyIiW2bio16YeLKQ0srrCI6wFOeli1AzJaKKS
LCnUndaS4WKlU9J9NkcJ2hYehLh2PFPG8mHp4tY2aqLnyxBmeI0cVXs0D5WUFeSjRI439lJX2+Fn
tWQQRUrdtkwmMoWLi+2Izu7WIBeDv8RJ+SbeoyGtwzJglzjk9hWaux7voa7lsK7eZ9vWjwIN1mnF
H7biVuh9QGRTFhcrk3puz1IiGd6e8sHCp02RwijbfoJ+81Gz7jNVaQPz6WVYb4d3YwJz7VHJbB9k
4/YjxjTET9WQzR3qVW77bwaVZtPdUKVVmh+aNMR3s47TlJ+X/aKpv+JHW8mL3nh99iRyU4wO25lz
XuIjyAAWixdtXiLPj7RbFbkDcivCcdd2gW/ymPRpgsVlkYGf3vmqTfxFNXUdJxHUlA0X2qabOw/I
r7hWLoMqwkMJsDgvl9z01WzPvbCkruPKiKoeo6RPA39BDR3wfOa7Hj8AjbK6qbsB/13qSatPkkxU
BlGHSq66GUufoBCYXIHVaZba8YNqkjmo98mybrY/GYTy4jDzjiHChC6rhnBf1Uix9X4OmsT0F9Ig
Vc0fiZoLxJu0srYsz5+KicJXmSsOQ1Y1tv2yiB49jfO2yCCOM/7oM50NKwisT6YyWT/wLLSTv+v4
lE3q3B+PPpu0h4h4O68lTlSmUy/3aiUUUc47sYmPzu1mNUSZzcRRhkIQYV9OkAAd2HZen+cMPw4G
jue7PJT4K69WpT4ZwcrGRC7LF1W/4i11eEItdPPvUQ497IqEknXRSmXlksPQdC5hF2nSrfjGOk/A
WlEC4qUOzjspSrOcJbSU6lNdL6VtYl9V1SKv6lJt/uTFlKMES8vQI1RylSzIef2CSFMcUP1vwhty
TiFfNoQlKrGialK87pYKp/w4AZ4lweWU9M7lN4YXW81mB6S7V7pMuPJvxdLVS7KfkyJYsoOaWln1
u8YGVIlI0yRUn0TKKY6DZGig/DUQK06lmnpLG7VMNnNzzFEY31GShbeA6jwnOR8vp1XWiX5brsMU
3DqA6V7s17Yz6hPiLewrmNoVEigE2c6QtE2A4L/WbhNglQOvAlmb2k7tJ2WWrKOfxVyp6kaprl2S
g2C298FvU06LOdkjo/FKRn3Fyy6Iw4pq98GEYir9e5J2RZrGiVx4Nr+bNLBN99WM+dixj30S9o6c
uXIYaxMHbO3LD6sYmLDRgOwwj5Gn1AJTai3NQAdYeV0YFo+4GOgx0hN4iXn3dJKjLru2WCEeKfmy
Hesx3FTVuMU/s6RbNAH635w37+vtieaxvEkKtl2TlAR4YkmX7cGEDxJPjEPjt+erpIUrp0CLyc3q
F9ruCzjq5pWm3u48mSwwJSKRkSj1s6gHDlCftnAapLGbF8d1RJkj4Zsh0+lko4k0Aope1sSwi6lr
Ni9Pg1VA+j1YAvwIwDJ/0a0E9i1IAAUT6A37KnPwTJ+eFpLOIKV1MJXg9lixNXmx6jIqmnYQb8tj
wCqrYftyF1ICawiqLtj26JQTYlendWeTKOvUENwOuWxxZj+Bwxkvc5ZuMC4TM9bQY7Vta3h0uMCW
yCNRIofNyVu2kUy7Zpo3m9TJyso8klnf1PU+Kyp44+EoEKb0FvRK9BLwXdHToLjKGK90uP9+eXVS
0BvQ3WDbCGg1oxVV6qSgzzya5nPZstvMWoVd6zSd4Q2TRZjtArF5UDWWm3eNebft/fvLb3zRN4Xt
trxSQqFdgkYW1j/hk9ww22Dqtbp9Co0FwtMmfxnCk76/FForz5cSBGQy1hKS479qK+u/ofemsOzC
BFDydxsh5Wxt3LWJEK+10Zt1G5VtSh3yAhq2wgmo7Ck4fn8vzykESQjsJ6QShwcZCjs/KWmTkbPF
w/VujUa76FMu6YbH+x5dvf1qAZ1/JOc/L4ixBhAHKjRMQdcnnEWZOUKrmiTvurlBokhLZPwLvZTw
vSfP/v4BKXkm7e2EXGgiNWUho0TwkwXnqhBp4yv17iliTNkawogWxRcpD7Pow/FQtMnq3g4TX4pd
PTRbPOcOoSHoV4FE9IMdPbd07AilVGiQvLSRAhTdtuNv9L8YEkx64d276uhUE3AdfHweygRxPQ/H
HCrIxLDAMw1HcgC0CLJtI0XLu2GNxw6V/UHW3EoSzQgtS4xQ3+Fx+EdCb/KFo56MJ+c3r2mPYfb7
hzjhgTTBjAoMwvBtIOLPVMic5QHLHA++qsCNWDhd9WY4VSi2ANw40DqfSkkAgb6/7nPZQZFY1oDy
YuCg4LOnFEw7LFbbgIdfU9QWvYpG0lb9r5lIWJNGU5EP+esmwZyRj7LMovr6ge5OXBfLww1ANjID
vbE/MW6pHPOAzBn/iuAOR43lRJS8P6b0YyzPA2rpKyTXZbgte0JWRO0sryCU7wviuR9tFs2UQMQM
EUAgjVPH9SonxVI2yZfErI10Z7Zr62TZB0ndAyosoduA7veX/PPhQx1uMTIkhqDhdWK3mc6SqliI
+yrUhAbCYaFqpeVBummA+eYhmMFPboDUkRAfk6kly+jMfswtaacfGAI9IeMgAANvfuwBcFRdp16U
GmAH0/rgc5Y7DZg4+2zDbfVsM4w0DVMhVhHndb+wNpoNWPIukjnJhtu6RckYNwF1zS2o3BohrpPW
sXf1mDf95+/LbMta36QVTSkn4DaFpBrtIX6aVoYpCR3p1vnzfHRGAlIJwiJHhDs7vpVYrNxifuMn
u/3kbTr8u8KiVGlQtwDrIchBdE2eh5ywYyhxe2U/N5UM0B4q0BgBcB4X4oGDeSLRUurTAYxuXcgG
XJ9ra0fleRgUG3neZWjkbE2lZYPbTb5W45VAsrb1DzhWempjoFW50gAVIYOG/4QCZo5mgWlW/rlP
mAJyKnzfVsMbYOK8beKpWzpsLtD1iHsWqBy8V1iuS3A7tW1y0RtXFWlcrytZrkC3NiCLG0MUGhuD
BIX5TtUmXWuUwmYGc8yCYgHjD5BW4atlngB6/cBN6UkLBkeh4GKMIpQj06Nh9VzysMymG5ux/aSl
lRvwOtY9STIY4Cm66g3XJcsxeh4x3/BYa7WoK3BrnjxHVkBu+rFDi9MozkCJGTgSxejOFkhOzKKc
y75OMtt+alGpuW7P+zIUrxjN+HLFe9R1XWSSsVo/1Nm8LDoaMjd1WYyAP6l3abcmwbmrRbF+cMEA
zj5ElwRmMouxrsxZOchNPbbnBia0jBrcfuuKcv2wVmpr2RDUcNBCDulDQbYxW1vl2JQK63mG7rgs
gE6ifiWpD3et7Hl/UHrYdFfOW0dl1z0ub8J0I+1CC5oTLTX0JbHzPECFVsW+lTVaC71q0AAzo6Pj
reB29dfOlYmLqqp2rI6DNKnn81Sgb/exCZtEfBjJuFVbOkzRDho7FNv8B7ZxGsIhfU20BhAQW1+B
npgGT5YmpaatPq0ULG0azYzoto8mW9jqgg/dhEDx70UjphGL0DHbGt7I3acrooLrs6nm00e+Dpsx
ToPYwt8T8abGDhV2UvAVsXJig+/TVxqBBXb6/W1snfJnUZFrdHU0EpdkhKE1eXLylY9DFxhVf6hF
U3seeYvy7cF2WYdolJV9Q/cu0TZ/M/bhRiC1mbQgt0LPRhuB8pwq1Jss7a4q1N63M5jacIn6iaID
6MOA5HEn19lewYhIFhVoFeRtJBJFN2fPCOzQjhnQxUVSlH7z/BFI/TVDvm+XiJeOo/P3/ROfxrWQ
I0EBbuDUOC3HuMHzMFCqJGumrtd3KFEJ+uPSObZcsXHd7FYAZInzjE5bU3UGhsNP6h+b5oFqN5Pm
QzGx5BZ822bSrMtR/Z/nLeNbiOzQFqOHrhq33u4qQZAsu2Sqt3Y9XUDVfXCadnCj7x/puQ4logZQ
PCcSYY1SGp42H8G8dJ7NwXiT9eUWw9ZHKqztZTO8XYJwEBgH+9ebncf1JAHw2f4ppU4kqGfwUSwk
w80T8TGnWVdExKK2tpHr8/Tfaq5KAr+kIXrLKN1RrP2pIORTAnMZ8+LmSEyAJt3wuC4rVEZN322U
wfcPuAXbf0AFdOgNcoRADYZ5FIGe9kkBPC3rnLtVlue6CVwpY13Xmn9SDiXTj4qwPy8F1YXITaFA
r0efxv06YfUypCo9PyLXUaI/hkqCdfUPcepJAsTXMaFhgJi3CVCjUFs/t/yG+Cwp5tZ8IQUGFZ4K
K6bKjSx0vN4aClM4NnVMauGYjrSr0AeIqpXQPva8mfVdMRGUwd+X9tOIyDcCRwUBERgM7jyi+vCU
cSAEQV3nWX/mVkayfs/kvJUyAxFssL/1awM0HNs+RdffRHWyoo8ReZl6Wl+BR8JoUBrbskVP8poJ
dMXImzqRaWrPF7BW0t4kc17SeYkThnz1se+6GgS9K5houn1dDSvzMbFE9fUudBJN4Gs+U8vVG3ME
A6UCTc5fJ01Nu/lVmWajwSjPMKqcoltXYITkHBS4zutdFRQtTOSJOtMBXsui8kh4gTsOEc3VY4F9
JMHLR2lOWc2QAdC02AiqaWQBMLRlIRjshg0QN8g/Negb3lcbzRgcWbcWyAp6I21I1zwqe1/TNWp6
Z5p8p1pdFUP0ezOuA6GTRU8U2yO3h7Q8Qb5rF270ku5G9DzBepeK7dvQYsm6BN89XhKEujyNq7nu
EdAwaVIV1R0HIWv4jVq8Ee1FoUiwtan60QELLMcOgZmWnne7rBxqDASgN6gx/xIVmQ9tEgeDTSdS
Rx2mLiV7YzrT6mmfdkrI7r1czLja95iE2dIh2EnC1I31PcZb3uct5iDSHewctcghcx2lRVxT0KG/
LWiK9OGlVPPEPlE5Lz68QUM3ad82xhQl2xdNHxD0aBDQZh9jxAxAfN/YBbrdTTNb3RKRAD2zMQZp
SGUYL2JJpuvS9L5fI2DZKUefx4QOoCrPSH8mSOWnz4rU5ZLtEgEquIlq3dTu1wY9wWCIwmO+foqR
HcB0qq7DGoxCcWiySrEB/O4jA4iRjI3BXBq/wcyjaVSPPGWjqxLNBGdQTrfR6IiqKSJsajW2wcqS
RVMZjOY9Khob3raNCapDnctURlmaTrdyyWWxW/IpOcvFyM9zwteL2s3jOXps9p12isWzkdmNzn1F
MM0wuvcJjPpcpNL2Ebwv+1y4tvo1JbndzYYm6JJU3J+hDYNmJ2vkVdiST7aEOzZTq67VlLc7LbIM
2iWBOxR6FvvC5sPrtag82bOO+324EF7BYlX9JWuHW0ZFe+VEkF7VY+/3ssdwBKrY9Hy0g9llZgrf
6jbrUBS0+de875JdlbVptIim2cnEdJfhyurDkjSAkE0rBT4dLk0sikYfJnzyIkSn4LOb7XCGoin5
2pmyOitnWq3RYgp5yApib1uBqZGoQvOwjwJu07tpXsP7KmgkmkxD/X4KWb4nzJNLQUyWRzYI+LVA
A/ngfN889IVO3qKtnYPs8Nx8pRhCAtNOW/puZEWWH9qlCfa0r/27fhRohSEU7PplHi5575YykvUU
xok2SRb+mo/MLBcoX4YvPRMF3duh9SDg8zpbohFj5A+hl7reBUngLmuDWmYnqC/eziMvweDX9kr2
nnZxEmb2nhR9ez1rQa56RTcLTeQGwNJxupxBtL4iuhwvMJcRXOYlz9guRPT7SqeJN9G6hjRDQ6cN
Pk5tNz10QTDHLKfrfd8XlqEcaTHWuK49LDer2ioC3eKGXbtO5XyphrRLI0Lb/GahGoEYZH88Trzi
lyIkVXvp5s4dWDuwK1nVc4QZhA9yWr6QIUluBIX7jP3gd2h6kzxK53rUO7lYvhfaNzdtJtzHpZ3B
FhJg47SPhhIFVBnrPJVtFAxc3APW2oizqjmzKPAjRmr/dqZN+bbPFl/GpffpXZct3a9ubmsWdfMw
xwl1bREV2B/gWohuMBxvztZYzOH0xrA+q+JmHYv7om7XCONH9Qf8nwQdWL2RvjUYb7lomQvjwZHk
UuSNuO9DNV8XK3UjBmLEgEUTHyVD0KFXMqTXKgxsHlW0NPcuANjahWAOi0gWffdGTao8INArFZt8
1eee2uwNinwUhlPm7pht2rNxmOlZ0Y7q3vHkbkIH527t6jU861qxREVXpw8LBHKWeT0MexCUy613
RiaREx1mCcvURyQbxwtlyvasA0NKo1T35s403nzmc8vfFy6xn8d1XB8GGPhu1Ja9EqhKzggyxa6b
O38L5jOI5NSM14Hry08rsc0Zr2gCWgeDDjfZQgRy2YyIRIo8RKdSlupcow6I274pzko5uDsQQxz7
H9klJQ0/FIr3H9Ex7t6YJnPndKnMbV279Srti24/a4RcNGjq/KYRxF+6QUxvmj5x710Yii+8HBEc
WLeMN2Kp4Tzotr6m3A9Xs9PTRT7N3KKjGDZniarFDo0bTH6iIWcu1sAl10mSubcrC7O7EE29j90a
+vdI+Ok5nE2/WmngQYCo/FCZRF5j9pLy2Nem2oXr0nDYu2sOaxrYNyWGQ96ks227GGUlObip6D62
fhAp2j7reu2MGK7AcpToW9X2fcpXUyNm1/Oe6zI8p5hGi8d2Fa/DMeWYGXHB1yBhILCuFynW3MRL
PQOD7/SAYYvwupR81H5P8D/qVT6qTJtcT0GbvkH/r7oJxNJ8qLy7xzspRhBy+qGvgWCKQRc3synA
3cqW5pfGtuzTECTDFFfZRF6BJxjucjaO3VnGKi5ik1F9JRLrwoMhdWMu6yxsd5gwFGs0YhJzF5q1
1lGxejNGNU+aGxugHrpagk5D1opM3l13ZsQIEp0dnS4a0dWv+SyCt7oxeRur2WV2n5nWvSvSfKz3
GEZcsqs6L22+C1wjQacmCQ3O9Nj367slbNyQnW3Qg+xMN9vKlpCandLysgRd66qYaiCXWNZDMr5C
H6/oYz7Q9P2kV7vEllTqGlxfQncTBUS88iBm/AeZoy/hEEdc66UCcEobcBLno1f6UrKZNMX7lS8J
G6Nl7ogZLhmCHbkIBWZVzrpqadwuG3s53JogLQuU72llXOSC/+bszHbr1tFt/UQqqCElCjjYF2pm
595ObCc3RJzEVE+qIUXq6c+YlVW1V5zsGFXAwkKc2FMSxeZvvjHMRdfmHkntQx0h5c7CinR30gXe
tl/RAmlyPxlD/3JNGzvk4QTC5CrpsJ0WqK5thUTP9dSES51DfteeFs/ZubnpnBenW4ThH3zbF+gg
9u25xKNC2t8sC2nYUri4ibsQ6McssR4YwLtcBy7sSxLorrpsK3CDWT8AQMi3xY5DFvVue0Bxp2kP
Q02oLMVK16u2Rj5dNLa2h0iQgBUx86sE9eVmCo6tmBRAOU0Tl4WrdR/iJVyuPZraJO8bTuYsIW2E
JjG6yY+B8qZvJkVoEk3KhXspeRCVwlShDnOEcJUnc1CjqGOtWVLF984jMkFgppmruxw76YJvkL5X
2/orNqGRxWWlOpVRMQY2Lds+CZKqVKGVlF4Fnon1R2CGPT80IyNfhDGft60SH0WlPotU0SZDmtA/
rGvSlJzxae/j8PCxScQTwKxku+hc2F1PUa13pprSXI1qU1mCGq/K+p72D9PQxcU0xS7TrCbYX83S
f10E33aJ7ACYCcuvwL4xPw/svI7FhsOG3KZzFT0kqD5MRW3QhcR8wITJUExbvwVStXdqHGZWzkki
Lmc5yAc9zosotRWGH8EziCTzepsee9mMRTiM3a4dOX0YWj8o06WSFy2n3lXYWnIRKuB0UszAKlOk
RUUYcoisdKL3mw3DLvMTHMKFn5pxLlUQy2sUH9flqKaVZ+m8+jYfW9HkJJ6NytKg5yhAo5qqj3OM
hysd8IuHjUPpyEFkjvsG5FcxYVGu2eba6RqnPA7/Om67om4QX+AW+D1OnXqnkzTO9aCqx6YWwWf0
hO0OOHm6l37a7xKVNLde40+56ePq2R/6j12DMpJA4rZLQt58kmu4yIxGUn6KfD6ddBhxm/HJNiyv
UcI9cRXioYUP9qK2JkcSHt00SEtOZg3qr20VJZ9bLoLnNojWSwOmsKBqlMcIMMMjsJCwPe9pVmVR
449XMecR4lZsjudJSL6S9pyku6E/n9o2nF+kYV5ddnENRA+Yg4yPAx1qmc9TbRdQUJtEGztZmyCP
OuwjWezVDb3q1By+VFW1tFnY4R6ypksqlrf43ByNWcyJyil67GMdJgVSeNNNiLVaceqVXJ4UsrYq
b1UU+Z9x8K5TlnpsNQdvaeNiUY13qEcafjwTrbtgM63OauepG0pt86INUzgekHnupObg9CWn0SWg
sulCOeDO2SQQ0lzaWauXNlxsnc9ogJusNp39uiwOawWLEnmaVuivfzPgqUwGVsyUQ2OiE2r4AjB/
bTcE86g5fyeoP/Ndn1TLBXHI3zIP4chSdHz0aOmNPRoG/mbo4zJ33adEGZu3qDMXne+N/rVek+AB
3BdLwasjhsviZa26/Yqg6oTdb1hLO1ZVg1AuRegJvtiT11G1Bl6u+bmM53qfqnJSBu1JsNKYRDmp
+qohrdkJEwPy6du8aRGkTeU5jTU5d2MdIqaOBr49D7Me2ptQButcIKvgLba0NJabyqdAi87tPT9s
BnIT64izrA3GOvrSoebsDbnxmG34DihXa/2rtpKxTHNk25aoTG9VP+s8wYFLXVGBrGJdptEKIq4Y
jON9e+EYR0knnzUSMHXbGVStosyiR5Tq3aTVWD8L0RIpihVLBYAPVELRMGXGjjJedgKx2nDUlfb6
13mcraFlBTK/H0o6ggJ74H4IKmivgPAvQzE54vnNbaNVi/dAPID8usm0Bp1iMjvh8b/3Xpr4GMe5
GVyRqsrSZzrRsHr4gRF46ozCLF16btqHAbfqArLXM1QKkvXM0WAdbsk3Qbhv4z2aMhvW2xjMaf1J
q7XyqmxgKMB5yGx5s8Y4IrAdL4+6QkGBXS4IKO2136S+I7kWsx7b/QbuCm8LR14jm5eI6cH0Be0W
7YaLSOPxtgx2C2E458Cxo54/RAtVdVzGqHLX0cnXenQShHy9IMZB7iDGnVKswX7sLbJowcdfhZAZ
IHRXKXZMl9YIohjZ10vSO6fABxj0+OscsL/uVlKKwZK6K9UKFjxF7WCQ7HJD6MdK7nUxR73c8FTp
LCBjSsrEbRHZg0jrHxXT3UcP3PeShRKiuIxorJ0SHHT/zR9aRFlonVVTW8p4TqvCTCCobbaFI7C4
Ldbuny26U1oLc4sirjmAUKgvpc+jvA1jfdUEzvWlinrICEwKRFF53UOT2jU5jgjhkiwalCOZHdZ2
2E+LD32NZWod0Nk37Te1+bzF1kp6nsU4R3WxRJu7n2tvtQgQvK5EBIoMkTeK0v0Uk6UveM/si7dx
61QWiHUM7llbt7SArcjwdfKBVmZzY5AaDJtnkI1MTVCVCCem+aAr2ppvwrPnigsi6nDIt7YSO+jH
DPd2vUav76MOx3TIuU+kLInz50Mwy+RTZzqCgmXCQyFzFBRrigw1cfN1z2JfF6FP9fIMKBdAbzYp
6D9y0MajQYAUhCDeUdy6Fsi8+4yMiMOvLFAwm61Rm5RJG3cnT8wSfTBN0ZmF6kP1gIpDp+eCDTQF
LOUt1R5NT7yYxAovi6D6OIyqG5tco2D2sgGlxdzg6Z32fInn3NQuDpS9dXjZBUk5S8sG1O93D1g9
ioeNEpcetuH5M5LLtbpLmn46R11RWB8QwcSniSS0fsEWGbl9ZEhzL9eIX0HAI76JKcDIs3WzEFJw
jcrIttU2U7W/fmSW6tt16io8AuR1aDMlvcRumvTodLY0vQ9QPkyKtJHrMUDRoi5WUNtPa0Sgb6Tt
TA4DaRoIZyb6MHIhd0s4+M/xNAdZmkAhU03dhvbevLkM8IS7htYzrItQzwZESDegu5bWJjVHEU/Q
TczDBqGS4KvF7abdGdpFNpyrIXHhDuwSCEA/guCxECYy2Ho9NEvrbFEJhC+RmEcEBYObryKt9KUI
A8MKnwqV7IDoqg+rTRbo4ZYBTwlONflMpoqJrEcAfjN654h3hknMkCGmdnUWtzxFZ70d66rAgd5A
E4Byye3WowKQbbFScdkaSD+KyO/rchstfkZQCD0ANPeqMJF6XedqKEM+23xdqPuUYLcwF3YZJlV0
o2H3M50WjctROiIhqFEF6kN5FXU8vGBV1yYA2Lnrsyng6YXnVeGL6+r2ZD0130JF0uRQJ4Rf0FLX
A/ofSeryms7NlCcrqV2hV9fMWTexhZe6qlmH/XeKuosmCB3dLfFKHz1eKXuNylUboRgge5d1qg8+
1SlY3KwHInwtwT77ZbJSh6QgDdESHblP+7IPmupDS+205jg3EdUhPi+qaBrZedzimzVaUYaOQsmv
WddHzyP4X5EZ3X2K5l4+T4uUWQUDhvsEWp+cpcJgynfTJ+GtvkBsZb3cQ+RxNWmwATPqLp8Hob3j
1GBRF1PdJjeLXuRpoSMaxVPSXqIukBw87rNHVIzrBNNAxC8q3KLSEn++N5MLj+0slzBvDFvP0Zrf
A+oeUOJJ5pkd5qga4mJLPQROfZ3a/UBD091DxVsXE4pbxYSpTvIxorpE+BJcDE5WUK2swXPFnX1O
+RJkatY+uCvalj3r+CsEb35BKFk+MoT7+4Dw4EVCG/ns40do5lkMHPqFz2jYsysL/HSvzIJVx/QX
SOeWW6V9xzO2SD/AOthuU+G1iGgC0u9xHkwD0ow5KlgCbBo/fbmO4fTUoNhRMItEZYTWectsFchH
j3Xkoaki0ucEVf2jUkOAFh00QG0UfXUa1f+pbBXqQdMLDqi2NwV6sUAgnpHRyl7dT2SWhN4sTTVi
l5/hkgBqfhqhywYpYV3Tj+g1AIWTN8QB8nb7NUSjNywi6QMCOvq66pvtCImhWz7y2q70Kx2IbA+N
ZP1Cck4mf/EKZihZJ2xeLThr9NpA7jZpUMd+AUlIsCFsZL6r86mNJ98etbOoYmZxaOmOkGFln+Nh
OGNmo2o722Efo5VPC8R5IGgLz8VCALUmoP8hlEMYD97fQaONRQOBJaHAISolv/uj55K5QKMVEpJy
VqtrK3RSa9GCY1eCn+WNmIMj2iCiEZs/3pmILUhh6sjG0/Qo2cpNUwARZMj7wBvUtrluGjlrWcxr
zOKg9FWk5/FFt5sJXIZPUbXLV0kQkmWbqrAzHDh01k2ao2J9fhISCz/t9pWwJhmftCe2kGY1Zy3+
DSrNJLYX3jIjYb5o3My7OLd+yhKz+3N77ufuMrqGcFyIAbil6L9CB3jW4P+dkaypAz8g6uRbK9UZ
QOh/oL99m3Z44Z5EW+qd9uvPZOH5ipBxo1l5BvzQ8j1bDPz9iijOscWHYvZ7/+OK5gdXHdFhAocx
JxXRkEEY33oQ/dYNmoI/Hvkv/4TbH53HHz4AX6WCtlpUf7mT/fvL/9l/l2cPg/mf5ln/+9f/72yW
9q+f+Z8Pssd/f/yWq39Zp739rvPd/PuTcDN/3d3ZQ+GnL36xc/g/DBt+mKz9H//4k5vDTy4j/zLJ
OPsdQJcehX+bHb/4Ofzb7Od/nRz++pm/vByY/w98hA+AF3gipEoMENYPLwePJf9AUALwCh4BAcDb
BBPtLzMHGLHBdgW+HRFuAJLVCG8cTduzn0NI/kFDtOHR/4+TOIxT+p/4OfzMAFL0v2EaEZEAQgb8
EYT7zzNLrNbfmJL6EKJmt+Rdm0JghC5Xekk0VEcZyjHDZRtDrlekFYKIv43VX7Pq724SP68k+P8A
sIFbBcYHezNQ0TcrCdnwhuamXfarDg0C/z6GPCzsCofW8eG/uFTKQDiDM8LQvbnUFDUmCHq67Ekw
oXEbBpCgzZUqIxaM/8VTYSjPsCCaIr9Q3VsA+tARsqA9bOu9jbaxmBa0WBabvAdP/owk/hhASN59
IBOYFHBU+Pn1WQOZd0cxgGnNUyCT4R1SrvjVmrgQA2/yREYAtDlvwfYR+Q4qdd51fmYUgEehjIHC
XhgHv+CDi61Q/lHLgi2PxBkUPFU5IIX7z9gazBGAWLAuQa8ixmb7luWZBYtmM3KN1hOJofIIB2SD
1I6JKRvVg8348zz5eas9jygNz2xNCE0UpsnbrZaOSF2rYNF7iHfQu2yn7xAmvDIh+wzagIsY2dw7
m/uvwwi1RpiG9ExvB/5beIhXbbMyIAT7xqc0h8auw8tKZfnn5zqjLD+/LFyFAClhcG0CMnZein8D
+4nm6PWNrd5HtQFI5nmX0LLfuCBEw9vv6TvP9LtR/PvV3oA1CBrQ7YTVxJ6hrJhxdPWE6RcIQs9e
LGm6ZFPbvvz5Ad8Yivx4c2cI/CwYgX7j7VbmKpALqDCgF1/F5IZI0j0KdE+PKEmxAwiLttDjfWIc
y8eOzN9iOHGcUKU7aDFJtA5Tg0pyuGbTmqiv1kbe0cHgJQv5Mj6cYQiUIEUetOP2zsYU/Ob940hP
/ADwOrCntzOOzSIOJcK1fQ3ksc2It7ZJZi01JVrqZ4EZWtdgUNYiwuiVYWfJZx+Z9C0SfnWdLBvc
cZRIbxA4iHfWAv3trWF/Pq9wCPvD87//bdI0KWDYDYWjPWJXpG8VLeoJyS76C0sJGfz8EfpXdGnW
GA0/2W3DCajRdDlzRERFbxeDQsmQtWRGDRJpRhYFihd8YADJQ+EuhA6n6zDevOPWrsBlkQcXiFVh
IoGu7KNea+9xQR8gT6MaUnjiJTtYjtTo+E+s1NKelnYCkep1Ol84TeHDAT6TtB/1yubrlrgoc9HW
7qZII1P3lhuZJtthrBNQDgTJjuUdv/RRPXvyptHsm6H1zvLC19ZFADVRTYVvRHuAE85yg08e3okh
f10g0EcgMMCqxxkMP9WfRxbFSqrpen7pc3XttbqCRN4/BrX9oDeuSq2Btfx5ffz2ihSbNSpdqCy8
NQVKAbmgct8u+4lz1C9I2QXiazqQyykaCNog8fOfr/fr2c5ogt0G5MtZVBW+YSJnkRrA+nrZNw6d
qNCQ9ShQiClZOL1nuPPrNGVQvMQhJASpj2Lvm2kqNDXNaiROQSROF9Ibg6NcdfLOAP72KjDAQpgC
gRHG8OdXBl2Y1y/Qou49ZF0T2hapd4Cund3+edzeQInnfQxPw4CtIlpEDYi+uU5be1sQq3TeWzB3
hQzmZhfbXhTxDB8RwmfYXESY+H4SidPEnqZQ7CVp6/e2pQiP8/OBAftFSKjoWYIXBG+p4HGUaKub
BFyX7ZJyHdNux9dm2ZF1qVkeQcFyDAY0Fydffu/kmtzDsGvdC+qbK2gcohO4zfew3vC39wQKlSHp
ThGzvjlWBPE8VGqieY8ayHD0J1qmvkZPbVjGaz4rnVdo/3/qKJYyRKnuRp8TSqiRoFVjgyySofsO
VbW5bpkttm39rBskTGO9qAcHR4pMLTU9UNgBnAYHSsBf3gsufv8AkDRAzwipCwp0P88h8DRp79iK
Qa3cvZgStdMrER8r7GLooiZNwefAz/skXnBiTf0JmpYvrE4+QFybHrXiPEf515SVL9M7uSXyAyPb
941yWEOxKt2tSrhibRsPZ8XSwYMDFcN3Zud52f4yLf72BG9m57qgoC+km/fOa8SJb+mA2pMdisbz
i6WesMlrtH2bxj9G0pl8Vigb//kWot/OgrM7JcViDH4hhJnDXuKons9t1QUNo47RF4RVtwmZB6Ae
/jfZGfuUQCrydT67AxiRA8+qCvBcKN2LeRf6syxQkE/OnMvaZ0moVV7hgntLUcEljQi+uyEIsFUm
D0nUlhTeUkXspU/ogoC/MdS/9GjQHTYpvyTGf4gdLgQEQOdqTWf6zpj/GrqhDO8Ds0eEcNbqvBly
ClQYnR9sCGPTPQ0crEfTFd6Gvq/caPROnPibbTtGDIzME0pGxIpvMooZeOUwYdPZKzG8phDO4dQ2
TUbslr5zpfMnvZlJuBKktikhMcQmbxYzSuQa1WqKmTSJD2g3iyd4S4Gn7B2yCSgFAAr4scdO0Ea8
h7P/5iyMwWqedcU4mBB4/7wMF1GPaJaDWdWJ+8QXdmuT8eza9NolywtS3rj485T9Z+z5y7NSqEID
FLqgtXrzCtH6m21dY8oiDR/udYS4x/GocENlcpi6ffc5yip1ZwvhFIIbwurczGIqfEQrf76V304m
qKlwskAv6r89lmu9GAosZ96vTC6Fr5I4IxXaKl4tRU6r5vXPl/vNoQmnQVhSQlMM3cLbHTsGaix6
iKL2zk12LyAcyzcYzbyTI/52fCFiI5hJGF7C3kQAzRwICWp23iNHhhGOsWgGDqgbxpx5x3UGZyMM
GnSwberKlYsete+gK+GwcLGhgfHOev01KUfx8uy/6GMNsV/kr6vTdIPwBDdjQPhWIhG7edpAjzmR
ix7tdzX3w75KlhBel9p/Z1kFv1vBiIYw2IjbGXk71xbQMGE0+NMe3mbVi0omj6JoLpabuQ5on8ED
DQwlWB4fuIxLPQTU8djRwm8U6Ol+TKo2X6H8uTJVBFghXBYd5ACo529/nhm/uc2zyzB4IfT8g+St
9qLyWO3oEI/72PJpp8lmSjKPaYlYvn5nSH5zKehXSJJCOOOzX8QUdRPMapyScb9svH+F02Vytw1V
D2gk9v+Lx0IMCrOI+FxS+2VXU4PaFsXIuKdhPd0BIY130iX8AkZZ74iAfrOJ4UooiyBEREn6bd4Y
blw0UuNKdeSLgi+DeugFGH6cblsG9o1kRAKQ/o/fGvrsEM3AhiKAz+WbTVsIHyxsRce9Q08x76ld
s7rpw2Ly0Qv886VQTv/1hECkAZNpOEvAI/RtxM3AcGixBZgiaIuMu9g5YN91RdYNfn586HI0V8Mi
RkzeoR9lVm+HzFHbcoO6or/rGcXiqiPUGI8cLtqPoTJdVYA5YYCyO0BJ2cLH6gu8Yb2rFg4g805U
nWiyGWZngC7wSFGexJKxIjV0DXawF4L2lHpVuq/dlGwlzC+A14i2Cj4ARdqCoiOWhjt40Nm4jECC
hM8pqKr+ewxlTSgyoFdxdWHhTcDPrbup+jh3MnDHDu12UMl10MNNxVfBqd+s9fazbs18TftBsysC
eIPfxXPQDTt87a27fgVebDNN0hZeKa0h4oolA00KDfoLHkx07B4MqEp+mgZPHuCIOfDMCXAVGXj9
xx4Nc6ANmsjmCAsZoXKmYeW0c23tRNkDz58uG4N0EnhlqtZuP89r2hZozTiLLrDj/kXvzdxH3aFX
YaF6eg6uani+fknAHrss4YvNNwa/pgdFay/ZQ7PSuNuVJ+YBEOW0lKBg0+Qe5pgMEJ8zUJYjiLW7
kdm03hG0LcHlK7FtOfD6dD9MOKLKjp/LfxDYpFB+z5R9RCOuy23XywgoVmUC+FAoeuiZvkOdd6cN
VU9A3rrnzmP+/QKns4z3jT14runKaExvdOdgVTzvbJUM9xAcZAZGh2W7DfU+JO0K14q23wltTpFx
ax6q+UvTwlmJ6pAXurHRDmzRNxJ5a2nQbz/jYMk+BiFYpqSO9yTdZIaIeQOfnYqLmSj7kizjWhDt
mmxIzJdtjOnBRBbAsHVwAegeIcgpY7go3dK0n0oA4PVtC6eNXPt1cMH6rrqKVrwPZAvAbmr+aLeI
7qkX3NV1pUDGWX7kKWlz27QaQcWc5HC+oMU8J9sd+oHHcSFLVm/ou9ZbewMuK7crmU6ttdA/+S2A
8gXeXw2wurxNWujJogo8Zs1uOSP3vVfZMlhZtdu2acudt+iCh0BWN4Su9wB61eeBzf7lUCWscMsY
F9ZfptfYG4fcW4wqGArW+0RKepw6sEAJ7MeOMNILjzBbYyWKFKcwsDv0t4JdS91z7+vxeaj5IaHk
AXZ1z9TyoVx9AAmT5s89YMAJK7BnR6OTYWc8qGFgSvKhTRk/zTyC9EtIVvoN8fAexi0jTQoUA3nD
Pcz7zO0oJtAH2uJcjOZLAHxJ1lnIx5wHDcu4qgOLlvoAk6f+MPTMvJIZnAL0Q+AGi9bUy+ZyLUeY
AiA1D/1JwJa0TkHIS5jpZSEmz1MPiZ8tkhF5BA5TbBKN0OsnhbG/hn9sjfIIHzLWBugNw/zXk4sE
/bKxC/xBlhYLouQ0pG6+ZG4V6/wJmGAyA94LOYyxim0Op09eEO38RoDg8ELc8z7xQvnVJlurDlHb
hbro2RmDczJI2KXnxUuTtQkDwtA5Q70TyrP+jCLtWB+mCSOVLe3QFRvrzYcKVf3bsGvCD7wf2vq4
wnazpGk9XgdryHayNis66yOKcVU9+xB/ccSTqO+qMtn87kLhkP26QCcdl2cn8rxZaR1dWgjeH4hp
+WuK4r7OEQX0SL658YvNMfsRfab+dVJTDJvkfg4+Q2Y5gZNR9CYdQnWGMtZihuvlfkHE8oE50nwy
Mz7HeZ0tATaMp+2sRK7tQI4wyZ6fzh4lMKiZq223GI2ZUEXp+Aw/0/ErlCHtrrXe+JyM4Ieg71ig
b7dLu6uBTz1ROQI7SeS6FjGn/VLobcbi6EKP5q1P2kLEMc0bBFxHPdIW6gMblshK02nXIm/qDyBS
8f0LCLTHka9iKxmtA3jwipXXILYBvOU9WoNHBQHceQ5660nAnffB76suk8mkwx1MiJT3OKQEj5io
Nq0uRLjhVuPWPJrQ6vUK1qTipmYjK2Bmsl3JBQIIUhF8aqRq6PLq+MEsId0yRCLjKVZVddOss/qM
0l1YonBGb8SEpQr1X7/tNm3bHcx/wVagLy1uuk4ZOGrSit5gEY1YVHi7KMKPp7ZPYQpVVeplMmIC
cTcFH+Ya4103rQMWOLg9g8fkwZuIA7UTjndwZj87uyPDBMe7KVO0Y1PvMbL1gdoeH+tpexuAvjip
oEkvNzOrl8Wp6dlUGNctScavMhDAZDe4PYAjB8J+Ajvt9jpd5m/pOtMbso0ezENkKm5sfZZ2rTF8
+b7BE50wgF4hcC3Yiq7Q41wGOJZVAXWByD2oH6FrH6pmwA6l+ZzB+zf4oAJHb6Dh5h9VXInrmGr5
ORZxWyyg1MCng+QLMsMQRFIdhaWAC+nJQe1UCE+bi6nHw6Opbz/CqgT7ouD1IVL4aeV74kanY7xl
FYNJbTb4DB2LaOyO8H0ATrikKOIUdbvyU9Uv+Ab4erIMAsZuKZpNSZ1tWOcoYw3zk3MoWgNymL8l
gtCcc9cdg2k5z3INNSF6LiF9gFTOPBK5aIgUJW6yo357D0dC9SVqqvjBS7cRUtBhrW5c3A9BNpNh
eu7Gzd6yeNaPvrLtfX1+3eHE2SVtAnhkEYMLtZ7bnX9RCNQUnqxuCNQtH1hTuVsfrhev/ibrvWcJ
hYRiYvw+7BtyHP1quIyjFZ8ot/YeIbv9CDud+du2GuKdtgkl8dKDtu81gdsMaEZdcZmh3jJDzhh7
65DHnkwG7ORb7+W1F/N7UiHlyhRgEnfsjYFEpdKYSZs3Tth6Y4KZhj2ruunaRgYQyG7y1gPADiTY
dXjXPkydofqKJBtyyFtfJfOQMxm/B83Xr+OrJ5vgkQi1Fmadg++xabTOsfTGO+wW26sMoXHO43Bw
bT41VH+HX+9G8c4SzH2lMCwxTvJ5769tMGXwvwg+bGHn3aeLj90sic13q9h4B2dnFP7HUF0vxqlP
AKTHu2Bh4gbOW/DFTzUr6plFR+xjKYBsmOkcIcNZnsa6Hvy7yWMz9njZ9vQoncTgwaHqCjkx3ynN
J2xi8H9A3XSJYIzNI/Z5m9lyzXsl9gbq7AOB+Os44ti8jCbS6owmor6Nyax2aiDzR1DikHFs1esi
JP5qVkoV3KjohaYC1JHqthwaOwgpIkh1qInifYDxytDRJEWL32ansgUimnsYJttbBCHACUnDH8NO
kLzz5AM40CuTYEu0vl8jl4EEZNVpA3M9dgIzBbvnXk24bBvf+GsfXFdJj30j2tBe92vvysYA+AdH
+UPMQ3lMba0FNt1+y4IBzcYxoP4RUtSTcQ6KC6zNK1+s0+UgkuEkqgFKZxjQ7uDEtGYooX6BAHg8
wu/c3rfSRN9Az57G2g+wpTH8L5rHcgCgmtuFXFjbkCfE2+Do4AH7AnNl9JnkAg2tFx5HLhN0yyoE
pKaR7onBweXeH6p1B0fbQyy7sUhXrxZZPcoDoNQvqP/1n6DWAXqcSAxS6EH128TIcPLEOVKdafz5
2Ho+9E3c82/anqjdrDXcRrkGK9uF/R3+kKAoz70PevRibHWpuNewoAAqzZNb7adDhsK0AwDMyZe0
TuPHeF66Q10nj7bx+z3KpRXiQIRywP8cpIH1Wl3V+G0fuQzCI4+24KXy+bqDssPfw0Id1u+1jorV
YDHCYHwBpo5SoXAuvkBwQZ4aQoEQWrnDcsIGLBtkpyIe0z1oqfQV8ovwySqC3zLRpxuohZ58AEHf
5BYx7I5i78Kjzd1jQJPkzuFXNuyomS1cuREXZhB5w3kF5hvfN7SawlyJpb4eG0yDeoCbL7jCASpc
pVyVkR5KN6vAhKKBkKUb8EedxAjoiYB81dn2JNbhsLTQ82eUeJfSNfZu88Onpfb6HZYisLatQaAG
mUgJd/frnlD+sWslwgxidi22wCZT/5+9M2mSG7m29F9p6z3K4Jix6MULxBwZkZnMmRtYckhMjnlw
AL++P7AoPVZSIp/Um17ITGJJVsxEIAA4/N57zne8Lvng6c28xgfjndopWbTY8Sa2ZbbC7GVf55UN
TjFWvmBoIefDNJXD2bE1Xju5p2U8cE5xrKIRH1tqxiUo7hmWP4BaylJQCjxGzNCGMxrL9Dk3LGcH
2KvglTNiTq9nuFhgGbXxxsffcTXRzKaqcwe8Nz1so6OvEv0DcULHBhf6Phy6YACae5Zc5VNbKDTU
VikZjqoO73rbXdH3hYzfpnsg6/6zz8yUOue1KYs+yGN7DurFRJW6ReythqETz+NkNYfScD+J2fka
NmX9kR2r/CjRubJotdoD/GhtC18n2mDAzW+Jh/DWEj0sQ2+/mwkAQIXLdmjcA1kekiO2c2XhsdVb
d+9mcKJYNJzyWsPNGK2KyS2vad+U8JO9NAL1CnZ35h61U0C8aXFr1F5+6yT0kfH3sIBCRu++yNbQ
PxVtGn9BvYtTxdD4hTUqgKPdpOXdRFqcem7Y8XDdYJZv89jBWzRojnmQlccbxYfJy9uS3tksBcCC
iIbkoSTE5Z79MZVplsfWMcrG9kueld2Xtm9pIrRTn79lVkFXoZ278KPepuIT6BTe9KU1jTdtPYYf
jQxvUQAOSMNQN4ftF82utHxlzAQYbObMLu5kPbIwtPGoyq27MHi2lq/oaPRjzO2BV5ANTlnI8i52
+gybPqayj7aw+Rm/GmUD2NzHamAVOrdRYWIYWg8tn3KT2sil1gUqLZciBhr0Kk2soj0ls91RN+rF
IOJAVSqJtmxe+c0z9p3yYCnaj+vYgiK7QyrKFqBjQhquKKb8qzTWLajKTc6mVYYOV0mDkOsAzujD
j0MzICWNetTFqzCy8zejx4yz6mtzwniKqPjjn1+mPWgRanbGk0kARwhlmitgJ62oJ8qdCQY/gAPS
ZgG9IL56yEbFnY1+rNjJJKXdg7IgocDECL+vBF2ga6O2R7GFUWCfJoTXd7ZCUcElZN4aqLDm/DLX
ph/SVHqWnlpUDMMunxB+nP2hG94Gh97oqjfsKj47mkD2PQ3GruiL4ikHQ3mbuX6Ni7vy9HsVV+1E
oIslwmur56T3xqDzGdmV86mTIuTiOdNYaMz/gMgGXBOeXXr/8bSmL8O3OCBk7VgkjPZLQvUCAFex
I57aof2apG0qd37f1Aww/DxJcZ8nGAoJE6IBoLic876g/3dU5CGBxy07dnR2bFXpQXcamih4omXK
4pKguueZouDmJcz7K8j7xdJSYBiCQzeTVXEdDxit6mULKd3CwKeANvBBQBnY1LLUj8ykm73Ke/M2
j7zxCi1T8oiVVD0owxr+bKv/SxrU/xd56Y/q0n8qZv3/UIO6DKjojP6dR/WTBvUMX+L1c9y3X7uu
/VG9+v0n/5Yq5v/hG0wmoD0yGaCtypDkuxLVNUmSY3LCKJHpCeow5tLflaiW8YcHUBdtmgvhivYd
s7LvSlRL/IEgD8kFW8mF2kZM2d/Etjd/Dr9+lSz2rknPrxYo01yTFYmD6T/pU8zJ0bJKo+OSyLe4
jPydBhtnhSxG/aax/I+ORHKUZdKdN42f5qmysAprHgVHMuC35TqIwaLE0BTG/Z+37J/5wt/P8Rf6
1m/nxDH8Rd9FMJy3fJIf9FNRp8HurWjDoBsBbtPr1+2Qp7jF5scfLvj/7EBAopk42RxO51h/PdDg
SuGXzVztpzZ7y2T2FmrJW8o//53D2B7TQ674T9cIMRRwE4I0gD8of+MvNXPLGxLgYfJvfHXcq8C5
wGwgmn4/HooqkFslVrD9EOYYbmGT0qEyvKsG4uGvT2oZWfwwm10ukof22AesCXXwp9mhO7DzouCu
9rGCPoFr8MMUjY9Cmx6r4beK53dD7z8PhntggYiiVno/D9Vwm/BsltXex7e7dltQealXsw/Qklfd
YzBJZ3xB4wGd/PVZ/oObftEiM5NiVuQgkPzrHYKnrDdkXFR77LE455vaXNm+lj1qKf/r14dabraf
vlD0UawKLroF953ya+7Tfkowy+y1vm72eV/hwzT08O7XR/mHJ/TDUd5JaXDeWIPWS47ij/bJaMbH
IVfFsaCD9+98dT8c6d1Xp9jTlUPBkUjD4PU8pq/f+ov/g8dL//mkfIx1zNcYeVnGTwznMszJLymr
fF8NRkmfaNAWdEXHxtPKp40f6uWa4AuAipDi9zrb/nUqTZ9BhlUch9pmsKsoOTfeGPUBG3X12Y0T
dk1paB7wKAvwAtnbt84BY7XhXDGpwfA5wzsxfJz4ZbWk5MVhvtEzRYHEG2PvjjU79cY3njKX0toO
U/Zv+YDMKB/tfUiTma5i4e9Uyv2cuaMTLdtddnNZMXrroY6sQ9dh/qPtX2w6wy3uOi21jro/q89I
QPyd6Ch5BkdwlNQqT4g3hxQdF6ymDTpN/VOaxXR5Wj4PQx/rNSdRjM57V21p8VXXtELLdWeDFQ4G
MwzTFQQPdpW12fn0FZtqW+vhCIaS5gn0Eo3qgrObcxauPHW7AHiSAWaKxSWOkmLjOLwCsBCzScQC
RX3kC/BM1CK7tJnLk9CxP3s5xYTnU+26RDk9wb6zT2Mk0o+RV8pHSnUi51qzeqmd3HgKOXfIGEpU
L1Vu9TOfaUDiEruV3wUmPFl0qI7F7o4QAfnYKg9+mNbmt5qWdB9DvppTnNYVFvr0TRdc0z51jKfc
S97AZoR3nTOXB7UsjXHblqdJGgzwGqlTHmE6kfFNmjjjBwAl1oEVnbS/ga7JEFHIsQ2gGGE0UByT
CMokxuoouURm5V+nBOkwr/HFRZSM3Zwe8eva0JTnrb7d9rKNrCP9Ae8qdvjKMtR1T7To0mBG0xZA
9ozu4Y9xSpGbZB9hRfCKJUxuHSIugQdI2UKVNjeOJAPJ0Kuz6IfKXzuMm/APVhqJogKyalAAz5xX
js4YEijU/ORBHrsfi4xiwY3LI+c44RNi5dR17MRQwfzHElH4vVmU3D92o9v44ywb9Isfx+y2v1Ul
oK1MxhMGl6ALRyqZ0agoHaHSaAHYQv+xrRseO0uftQCRmb/B2+7tOrMaaIhJBZWDeLdo2GHISl99
ZWhbv+A5cly60qvEH5iSkjv0QTX+8Mx4LNvZVY8OT2mNkQDyN+15M6dELCzEOtWvHMgen2a/ar8Y
M8+WhceVGbKy24fB7aqXiNbJyZ0kayj5jDYDL808omvC0kqojIYYnSthx1H2sSY67DiGUcEAbeEP
N+kbxCb/KhSOSUN1FlsR5RPyF0Za6xh0yCXK/HEDpcFHRMcV6mnH8gdTk9gjkYyMtPAuHZo+W+OL
jb+C6rP3ReYwQ3JiZ75C6fZMgTPszLykbvGxB21m5RVH/LZvbQgCrNY6AA2CMqWJvnZ9467jdrwr
amPflcOnnvgzEBXAFfuwck68Ct3buOehpF03bghhGM4DGvBNlPGcW/h2V0blZk+eqOaT7o/bfHZl
EIEh6YJcEf25ysCorMxOclOzKo434NegRWBcvzbZVG5r0PObjFEveWEVijYG0Zu5YXXLVTfsxPLe
rSzOm/70KzWTd+1RRb3KsfVu0fCIC3hGcZ/CJDyOPXdUxoL6keg8Ym8lPc+h4PTtluiGVe4xUu6K
Xn1utYbOQdSy5iBK926Fw9gCL+UrxmgPNg7rB2luCFGSkblggyY6dMltWdlm792GZdZcCTqg1MfL
Tqv3m3on9RxE1ZSyiMEARfbAoZuyhLVLJzcwhFCfY7tgkiSLVYRZmTuYMq1J5LVZMVSMlUm13ubV
dbsEtCSlUZ4kODpW8jpG/JoLVOAu3w5OIrWGrSI231ZdFScvXeaJr7pitRqWe4QCU1yykGZbao/R
dphQQbiKncRK0zr7ktIRbunOBwPk+sBeurR1V2KNnp3yIRn5hmY3LBgMu9h5tFYFPVeY/pbeNPuI
t8E9wLIw8DCxoi+lT9T2rD1axOpBEtcGqUPOd+6X/dZM7WVoMyQXM6SvQxJWdxoIwAqysr/24NLs
icFF2h+X/g64unamEX1tkmr0rKUp5pcx7s5hOj8luqmevGzy1t7EwIJ+gL2focxtihgcF2ym8EZm
L27d5OvEjN/KKIwCq0seeJ4fm0GP9oZXagi9wNN0ullh/W0NpndTtGNx/6TZzGsMl5cerCHroBG4
+FjTNUCXwYqj5564p7lclcHMJa3+XGS/Nd5nrsGW2kutMgdqFO9tyCn4YPt9joCz2RUx9hQR02bv
Wp/e5CQli1lKkVdzi6R+HghYJwfYzrq/8iqXOVPW5M16GuoZuHhlJjmogLojsAi6fL4C+/fQ5kYO
psbMj6XLeCIovb4+mrLt173IoT6tSYwtXec04WvOZ14+smH9y13FQMhQiVrTOYm1nQWrLD7SsTCH
cWXk4eAdraEvi1Xo9EijF8g9PrUVaW/uG/GFdBC9Icu/VrYTrUQSuYfRcysRqMlvWnY3tr5ZQC0p
34GbYXzumq67KRwXD3hqQX0JGDGnm66KG2s9wzMbsMqL9qOX6Rnw9lHeqdTEIgzJiUYZm2uLcbM7
DcdCptkaiOony+v3VZqmKOJMMBdofLaGw/PFwjHc2naqnQUhA+kaGMTIu9qYEHKCVlrRzYZxJb1u
b9R9B28nfM3gdMAJMDKEWCUTWbcWzzk06kvPO1pAswLNRs+FNEQ6qvOFxzX6HElX9CByWkQK7khI
pdS0QzLaukejL2d9YzrDoh+xO6FasphSwAjA0c0J77Ne0RjzJvt3XPBvlrC/7OMRzdnQ9238KTp9
g6Vw+qF6rcak1MCaZPs4p5nU0yx8K82ab1B1im7cCmLNuKHrytcWp6K7DMTqLgGF1XUl2FYlTf7K
i6s4AvlFCwLpFLlKRWdJIpA8WUbiXxUNdqHMaVH9DTVdya4P7X2EHmFnjpQpwC0XOA0RFq+YPmZI
Svyx8zTBKCDE70Q2wYheJknSj9/WwKLA7h2oOTN+Jxh+LzDF7M0+AqkiEUwm1kDrXbXRznNk9a0u
9zWbibVj0ITvop6GKVw8Vny22ZfJ1OhqGjN7rMxvyhOLn31i6sUgQvi/K1rfif/+/Dx0S4RLt4bC
/13B70YYqDxeJ2QciEfoCKcm4/2i3OS1kP0H0vzE9tfl1k9VMjeDTpmMCp3aBA3gX2+G1hrsPFKV
3A81G9Ii7ENe1mxNigKwGkDF8nexID+VQssBXXvxOfv4bbx3VWTRsNmzIKSxuNYKE2vBOy9pSatY
p9xYAO/g2mHgvcZVp26+vYJVSSMXMiNSvVhI3FxYY1/LGXPX2LLH+fX38T67abkCwmZHiRwLC/dP
1ltEPCF6iHaxiKXstzUYON2IlACBwTMuM22vsW1cMQs3tqSqEZHVdMdff4Sf6mwfzzYuIT4IhnBs
SX+9JN3kKLJERbL3qbdRgEXlqbLU75aBnzoWHIVGBbp1KNIodd+tAn3SD6ED1nXPGN0kKJmFq6ic
LqiR4EUwTkp8drApL3HGpvfXJ2i8M5vwHbNFwWrloUQRi9H4r2c4iQwAs1Tx3moVwEkJPupKC0Pm
Az1b4xbl5nTtw1R8LKzpkSBGRvWVrTYdsqaI1PsCIg7rLU3umhxLgIpdxXbSypo9+29mFGXRMgcS
BEFpYUvh+u3T/6dffT9VX//P//7nzAREzT9c55/a1f9FUk/RvrY/dqrRt/Izf0Mm+H84FOyLmw/L
N88Zl/17o9q3/kB4jGycaHnypeylh/03ZIKz9LB9YkR87hnrG03he6PaNP/Q8dOxlgBZYEHhSflX
GtXe0vD54cWIJJn/EC/hCjxoPycWkZtuWJXRWwdbeuCNbW24NAWFxBzG41FGNbtHJCPgVJWavsAN
d6/szALBR5tTfSjLnvA86oJXSQPhTCCxf5kJbLx3UpCPK6dyinXUWu4llkP7YUqH5D5vbQDd/ZAc
8sgRH8sqJJQ1dVPerA43OwiVoU3T/ah5TYIcW41QxPpq/ky+NK2TEH9xQLVr3DUt0CRIP8UpdE25
680WGFdXnEu06uxGQuAwKds26m9ItEnOtiJn8knxH7lHMmWZpYdyvC4rT+4q6S3TqAhrENQV43bU
eh9oeqafxZRAyiU2E/cv24Wt4VIFitKIngVqg4tgyi1G4GuhgQxGZ48lnLBfFTXQxZVOLsibOTGv
V/nkBJ4Y2EewZe0IHhAWiAHyLfDVAcZqZNLvbKlXX5TiIGaDurJOGsk4rsweait1SCuRVrqr8jHd
I+rBWmwpkJ7uJIKOye1T6SUh7KRY3Xb0Fz77k5qegSeYtxG09D302ebimIgA4FaQ3guqawtMtD/B
6Ks/MdUcKfsid4ukfNi5IuM0ECKsLJSThFAr+NmZ1X/RfHOVNPYUIAY/kQJ3sIiy3vSJZCoHF3rd
2uE5z6r8oGFTAXOFnrAu5ycWvXpX14P9hhYQtFraJafOsdSOKOrwYJALdkM402xsfY2xfgzqRtug
TuhZ/qf0MZoSn2LFIX0lcSqAn466qwZV3/vse88zTrkz2zfohT0EVzpUVnuV9rq8wzFf7QAwGf5K
oX7b2/g+EYpK07ydAXKcIwal28l18WVpled+IAxMwIjr2NwlrTksqHv9hnLfPZZUcWGQzpb83KPO
uISOI/ew3c2T01VyR8gZaEPPTZ5rUssvRVTZiPXlvB8RL190bTBPhrKXJNQyuibzuL1PZ9MPxryV
h1zrqXDDBcNa2N7FqCvjpfCFc6bRmB2IX6/2aSrxHOaUf1tloVqUlToZsbK4HWlH4+oEAhZ1r3EP
QwlgcSY2RhW6r2Cxv9r1mB+wYAFrnhYdVR1aFGAVu1eGn4+mlX2elFkhF4ws48X1invkQfNj21bI
HXVEWGXsIFqFi6Ed2RBg0Fuy4S6o0m1qGSTdryjj0xt85ajtiEb2P8MuinfFwA9FcyIfvETP6WNq
zUanHDqlERdRmWZyoAvnrD1in7Ejtt0npnJDg0xX3POSO0SGco6lqncF6ZBUkW5eEDObZrfYeuUH
O5R7Z1Ld0Qnn4mBlFM84Zen2sFi+dKWfHFzMFFsAnzXziI6OQzGmH6pWt77OKHsDk4IumGOY/HAM
s2dCMcYHt6i028rIy4AL6hIfHGfQz9FE3WjNuFXSqU91Ayku8P2t3aX5LkQRf6Zlj2xd3g4hvT4t
pCeYEUd0m+pkbRcCFWUglT5cCn1oPpvdxCex9LXSR6wDAtjWIEVPle2a3nPnTnW1qvRZJux5p5L4
3Sm6ntsyQ23YLfLtyXaDZhidBR1FPm5E/GBfzC28urKnF+z7w0M0oxxeQbyBQddEEIO1NkHa2+cz
FvKxPk9FSFq50J5TpBmL+hKEWiJ92AxOrQc+1TtT8+QJMLB+kDpwuFKnA2KkWflJMig7hWXs39og
Fg9ti7p1BQa9u006DZWwi0YO4N+rgxBnwX54N3rr5F1Qgc+9DF6pB16YzxJli3Q2AOX9R9od+oUO
a/zUeFZylc8DrdXO2fNGRIWftsOFtmzCraTSqzZ1SKGeNP+KbVJz06FeOqe6qqHcJRKSMUJbDJ7R
lpFhtJ4NIDh2W5tPmcqNvQNPgnwrj37RmBpfSc7sz8r2q1fUqcvLBYT9c5zL5AHl1yBXTpL5tGH8
aAe2FQznFKlAE2F8IxYLDfRbZJRRPd7pFL+rAtHQGg9PtWlHwzt5C9prPUr0kaabKm40och8sejp
VDqt8iky+10BJ/iQ+XP1IHsyO0SVbrIpnG+ywbQ2zOcgTk+dPoOS1ApcGdG4depyuIghMo6+oDWq
apDFynDQKAletwmP+In8vmoPuwcpSVY3/kvmOMk6L5T+LMMm3LMyxYewM6hZHfuGcZb2uYLfcazI
79pCmW6vBfqyAzKxcOuQq3wrJ+U9RMoLt0Kv9bt4SECVImfUoHtrztaM3ebSTDXCo5lAh7ln+e+b
boZJOFr0iFAj07WgnDVa7WQXugH5swCQTDoyO9xco9DC+8GKlui3nqk3vPvTNLrvbTYiq7QHsB4U
pt/d1lEt9yXNLna9tEuzFVp1YKVu6NVvPmPoA/YnAyev0q4SYOfA4vObYSioYOz+xW7sCMPYAo70
etV/yjrnBe77qx72b66cX8iv+1AIGITarCqOV+eHBhblpqmTe6OOqmMVuy6du8x4hGdTfKZ0GZ+a
kB8cEO1yqyeYtzK0bZxFf6zqFtzHTjoj4QFntlq4feC2Zrq9SYChWKBok/hqNBY7kxp776bu6sl5
bp3wrSdB1tvLgSb7CzkmRrXVCGQIwlLf9RO7nl3O6OacVLVWvlQsoOy9/IHE+DDb1tkU5Ud0ds26
VamxZpOXnUQ0Fce+SdwXe7Lrj7qLre4mHGN5cmNbNPeL0jvcyTmDbxIwdoFGSwCanX7BmoGmza7D
0d6IeMDFwRA3A93rJua60PRp1/gllhSnfWpxWK2aMZJrfeJKdpH1BKpN7Z2koq+Xd/2FvzlufZKr
Awj0x6SxrnrEHASGaKW9ykhDeIRJrO3ZizwUcyw3MWreI28Q7S5GQEqgiRRBVIjpMsRRfWm4mse5
ozEYJ+rVojI6Nr6jIfDT+h3Uhgm067LdIk2vX9HxaE5JcshC5E8OLfIy7PaE2tAOrr1k1wIUCWiZ
3eaYWtdprUWH2Yq6A7kkWMuQuB87negOIemGk+9yFYcOhP3IrT/2JtIAqKrTLqkH5h90KTeEhIRL
T7rEhosZijzEjBdZWBFJwGXe93qFjAwZ6458Xv0NahHbaAQUgO1XMCHEF8crHO+p1fvCbT/3lltn
9kNYw3rugqSWSf6dvPefIu43RZzNgPBXRVzwKpM3+NzJ649l3J8/9b2ME8L6Q5gemAt6E9+Ktb+X
cQKIHVoVWieWzrD7Wzvtv/VGSAbw6JJrxyQOFNff9Uam8YdNIwhPNa0408VS/q+Uce85KzrmVbh7
gCZdfJsEZC0NqB/am7zoCCPBJnApFCP0AfkPbCozdcnCcdVw62j2dExH1seNThuZrZI1PMAyYllu
/aJ++uHb+wcCHvGuobd8GgtBDZYa2pnUbe8ajFYxLdaefmBLWwjGc5SEq94tIdkDeSuxJSqrf3GH
isFqk3tdjSivof8Szq1rBZ7vFl/8rkMRzrQTorOU4gEbHHL1ybHDr2LSMNX9+hN/0xT9UAV/+8QQ
CBeAgw0n4lvz5ofvz0pg8jv+1F3MkWg5dBGzfBgsntIt2zNWrWEaBSYWXj+Anx2YwFOmm7t8aBhy
NtB6vrB+tgIDR4XItEtKMOB5rBMS1dgZsu4yjW+y3j+SGc26s3RmH9u4PmXMR0cmU5pzhkU15Ltf
n9XPl8FddGFcCId74yfilTtpkLuJ7b4Qz8tEOQLoQFHHHgl3DI4SSmv/rgqF/E2n612zk4WRzhoy
O0RI+vLH8rF++C5tfYysqo2KS+ExWqOH3l9IroMJFcaPvz7Bd+28b0eiQQIFcZFX0Vn765Ewc0xz
TajMxatoqzOYp2aGgDEZq6yKN3rdI6I29cnDrGfaKv/dTfOuo8fhuVEwrMOcdBxWh3eHd10zgWNK
VNGychPo3NuvmVw+gz3n7QaVUomRgku/U7L+VkWX7lfQ+e2B0Z91NTrA7wNTpcTaIDzPH8ymMsx1
7E3T10qjNaxr5O0ENtlTzd42nbn/Xdf35wsFgZBlA/kbLSh6TX/9+nSntwvbDpkH9WH+mjTk0K5o
aXRsPulbFNGRcWn2KfJ8QsbmOt460GwThrOD+9a581wGEzyIANP18DVpTPfLgJjY/V1f2P7pItP/
4iaigcbaytNp/vVTOg2FZBN35jm16ir0vTWe/RmI22j6WxyQaIPI6bkdcig6K3I2KJVEscNJWu0k
ja0gk3X+oZI2sy5XquhJpSj4J3ooq8quqwck1x5zwCLE+krPakVMAEzwMG2Li6qACtYaNUREfDDj
tJmMyMAY4nxPkJD8YKTRDfstc6TOcusL/vv7zsg1c+0M+ONFAlVg3aCTAWCgvPRKxrb3EurElsSO
J65muL9+oPQYfDMrVULbpMGeqSZvXgtla+s5HT9Xbd3d9brmLk2kzt2Gbd3TdzGM+zoWKtuFriaS
FdVK+AndJklkSVFrH/ucALmK3JFDRpLYQYC7+pIMFRZ04gGyu8QPR3c1AE0+NmGD1ZTvAYy14V/X
6KA2wJrrrRCjGDaSriFJVQpzKRaxONzk0EfWPUMiugKRvhai7Pa8agyF6JuYIa9z5fOY6zESNr+6
s4li2OF80vB9OjnwJ6dsNnRr0nk7ZF601aBJv5Ipo97I/qzsgKROne5ZZAzRduxSynWl1GaKht7b
NmUYI7gxsS7zV1e8gBC3OIi3SKSiX4iAKcT04ZY25nOrk2FgdlqR7xon2zDsmvRbxSCM3k5DTGTK
ndRtzQ68EQWLO14BBsSacturustzHNFLytMXQDKGMb+0ShtdqPl+w1JefjamPO1MrCld31f6pcs6
wjRJZajnHbmhXXjIm4ThX2pgXdBdDYfbZGIb6LkGEAsYXpMcEBPqtS7CkPdhJzNVb0jpjvSgkR0K
+7gGlVvus8lV8ZqRoN9d4WkyuaNUSKWLwIB34dbR4jS8pm40afXXdHW44UxCxreFTBp/BW2arAGY
MImDRwioHSDsUAeNV8IzzIPYZ+BDa8OV+aYN2RVsqVnyOfDgI85BYdDuwxXTaJKcvilqb4iByImB
jxLvDb+Zm+hrvTTA/TFp9i420VfhsTDdzrXToBjbep72LQrthpSmCHPbJmyHud4y/S6S7SSZ/u71
Fu1GYBuQ7wOXTbXcgfdCBcRlNZ60KsdZbppOlq/5r67hH9I1YgA7zAlpnvv5wWz8Tm6yuHM+zH1n
kipHhoQ4xSpuMVO6sRF3u7AZquKOl7F5BOltZNu+4hPgqZaLc1nAgAq8dKrUOfeQCWJWL6qGSFLR
HxvE5XIdhWbUg1kbuJyJ2y42HYy381fo6j79Kz5AvjanHHed0BNrD0M7cwJSO2tznZQJzv0+ROek
KWaqNym0OSsA/ZjOEPjTWTvpobS2ICQjm4/ru9VGgEcrD3AzFMQG34oJ4+bvMW3FIs7tE5kL2gCc
HoO5RPvYAKqfNKJ6Ms+4CAAP9Ik8HKfm/SSV0V+cyqcbXQB0P9t9wSspIuuXH/AhPJjbMIlF8UIE
UBEf8YTLcdsqe05Ooou6ewuDxCtkAnwbnuDm3fZ41s1N68xo2EjmWIRvZp21AUz0DRO7+kUqxc4i
jdLhrrUd9alqYpNIIKZcGy8DEYgJI+T32LJMx23RDOKC2sm0btvOFveiI1oHY7OGTq4TE4JPDFMp
7v3RMOjcu1FrXEPc8B8LvV5uzjTFKeJKPPM3eLQ6L9BrxbWJVcEHKwkbFCfeYP4jzUru7pxVslkz
ksPjQ8kWGjcpQrDsg+HhQT+MVqr6c4dDns0n/dobYHsOtnuaR+pQljNT+tHIuxlPiruc/PLRFesT
n4tEhQtWYM4CrzxfVZyV2Rz42cCjU0kaA8CL3cXuhqHxNeLfsaYaXRFf18KagPybFdy7Q6yasT/D
oajaFa2Emnws3dXNDaoW/Fj8f9LcOCMWENKBln1yV+SPGPT9ozckCUIT9BncF8SuvaqC8JvV2KTT
B7Mb9fYUsc1NT2VFoPadx9ti1xa6uNR+VL8wqGSkEFtxYhxLL/L7U4hJYVhPcIUgELqTuauAL2QU
wfX0GQm+fTP2LXkmtT4N2RMu9KjdkxOWv02zv6whlKvxmjqAuWRCDGu7rZzcf9LQp4J2qaKafDiW
ualRMT7prj0RxpTaa9uA98iyZwOvIx7Of2xSbYg20ih4TGYtNP2DVZSi/pqzIE9HPBc8G2pZsbF5
kSy0JWto2PCSUfVJQBdwAnjD3cCb1hx0tt51+hHxon+vTWzTj7PfNeILea5Tiz5MuANxkQa/aszF
kgKqiOleGAPEf2kARLdziQ/wPE4uKToDjArPbfdWDjJmP6sl3TfTRTszOsrK8lw4o3WFSNAi3hAf
/3CKJvSVgWe3eXzPTqT9glOVZYSlsx1WWdwq8lHU4NW8Bab6jimbSJ5FSd9sWM3swKaHqiNEkF9G
j50uMQERRy2s1Kc4YqIQSLd1mA8wSr+laxPOu6YnuWCTzD03aWJ0qXkz0uGxL7kDGmhVV4PunC0R
E707sbtpNzi6uGpoHJnRkbCRs3a0rdyI0Ryb9SBJotzNXs3dn1lj5K6nEHxEQF/DqZ+YUqMe/Gb3
403nP3Kv5+1NgXSUBdao/HTr4TNUwHhecI4rT6yybHAfbCLs1FoR6m2RMSq94UMdtovzO+KO3lT4
UesthcM0XiVml5VXblPF5g1xjNI5IJL2Oa9x1KJz1mg413NYPQa9/bzvzpJRH2Uk8/ttG3tZvIYC
rx+mmsk42YgOQjErjN3zt8LjP52U33RSqCQXIO0/t299iMsvX//XoZWvxZcfmynff/B7N8UVfwgq
J2pSxt9/HYrzrxBK0D0Q5Kt5P6QI4N3iJwSVHtHaFm0Yqpn/9m4JOjPsYuCc/0sJAqb+rqbDr0A7
BjsVn4Fhvfke01U3Ud/kvl/uNRcAZzrF5Z1POF6yoQzKWdzsZwWU4Sy1KqFdXT3LyNYOunIvRtkT
AEpfESRGa+W3PqGdN7LXH+1QRzVVERG1LS3lsS9gV9gIRL/WBAYav7bi8XMvlUSNa4ziJh1V8+qb
+dlR8gxEhZIW1HTX2H7Qq9xeSfbDq6FJ3nq9Ty75ErJYuxW5MQW2B13zgNjYmP8TndmPr984okUn
3qhXTPjjys546CwGYE2HunmRDOYm6nO39C6uOe5U4pLLtNAys+KsxPCBhjCGc8IxLSM799N8Y6XT
SY/4WyzWTAeTVywdkH3r+bPdZUcSDj8jqSQZqN2WElFxk8fmE03NfdJ4zkrptE3Zg5Jlr3kX0ZnP
2SBfXSS4WyAGH/QmOy/fQJcz1rKy/8vemS3XjVxZ9IvgwDy84gJ3JC9HcdALQqKKmIHElEjg63tB
tjvKctmKfm+/WFEaLkkgM0+es/fa1WchGoz46VjsrU2cbCGQDqeU25CcJbG686PfKEbrJls3BKaP
OSnxYGQUYxC5MeO3p7WiwtRm9m9d13e2k5/NjBhSVapnF2rtLJgAWfjlVfWN4wKBlXP1Mqt3Q0Sr
sc03tInA23G5tyue1WKNe/LskQbb5XmloRuqMas3ADh5ci0/KDPrEyKAEekEJl55BkojwxzZXka0
yXGqbT/LrP42GQs4iQW7yTiTVLt9lkAJH2vdes84+3405wOt+stPMbcm9YvwWkT8ZfZpYXCP8QXf
Eol9MXk4R78lbLbI+Q6xX7+sCfryanQhQwSWFpUDHwTuqiBp3SaX2CnO7YLO18ZrkDnqmdDESC0N
17eMIBy0it8YugWcwOrDb9cL99h8x2afX8vOe8uV/t3vrDus98bORZi2mONxdab+2Cn5vKIU4eZD
EGZvHVNSIENN91EvjwyApmm9uGT9xvPM88S5Zp0DjzdBrVuwj1lbISPalyY1PgILw36tKJDGtDpz
SD93/fQMtfmz1ume6y6cz6lWz1YCR7XMUdTjE8HawH1ox5gO5cf2czca94oe5w2YFbxp27kKSoz9
uP09vs8wU4CdZst9y71+OYJsJO/bUFdhauJrkWBZ9wqsy0T6ygdrE85WCgk3J4qzW4JRHrtNbdu1
jjwNteuflNS0uzJbqrgDWnDXaGLZ6+hdyE/uBkz5lfUxot9dZO/eGH6JHDxUBIvbZE9looiCmguD
V67zt8Rrey1MAby5B26ozQuQu5daae4UrTYJikSawRTJSFBvyq+9BZCYqKBYZe6yW2GDiXHp484m
Girq8ewVnJh9evZbAFku7YlKy+6blgpl1uwXIl2xNk2OE0vKU9Us/UfTMD5BFpzFTLypdkC6iZU6
qM5R6ptEKN4bozOiUOf1Xwvzo8X4Fw5dDaVN6mQ7m8be8hBF81XQ7IUMAJnF0CNl2v6drRNGq0xe
uqX03jzNvU6Ul6dE9p/cjy4oI3/TNUJU9WdRE7s4Tc/AxwAJF5cmxfb7f2pB5oVL0N9ctkdsdSUU
5w6/kK+uDExvoRy5v2mk/dJH+/lp0KV+kjJt/Je/qDsDe54aF1XFMWWpR1RCZwK1s9Al8uo3n/RL
L2z7JGjtvseH6SYmt18+afY8ZRWJaI/mWH4LtoDxbTsujBlVzhAO7Ylf6b9pc/5CgP37Z/oc4DQ4
g+3///VnmVpNkPlD0hyX0cmYrsvnVrGwNcs+zps/Yft+oVVc+oHd7U+1w18MEn6lY//9swOGcnSU
HeTB28/jT89RlOlMFp/fHPGWWlEBXfF+oW2ybRcX4kDLI/2Ujxk1/b6cJWAd2hVRH5DV3mfLR+Ym
vK7rZUpxvsIVPAab0a2Y+hgwxmV22b7x0opdSahz1xZU8f2+duQjfPoX3cloPij7OvmIb1WL6cJx
WmxMcNx39kY2+O/f6V+8QgQX0UyGRKoTbvLLgzWrPKhbgo+PmTns7Va/x1N4X6/IoH/zOVu39E+D
jp8/UZuOL6UVUKV/U/qC8PQVv8m7GlT2acBetBi5HXNXtgBSBUU0+CVqcByMlVzusU3UD1nKGWqv
6Wcn2Ze3UgUkWhkaproQu4J4aZ6eYXNerV4eMp/tnvzVepemmXvolKneUvo8hzo1RazyJb9Mej88
ArJ4UZuXazJz+wyEn+uIO7YXuCKfSe64uDvQ3/fKbw9KKz6Tdn3x02m/jjjC6B0cs8U5ZlmTwyBe
8UAJdSk9zDzmtN4jp0F9YPJvBz6NEqdcdp7xW8n0X+wwGxA5gD1A0Inzq6J79bS2o93ScBs0fpYT
ip3NEaZLx8c6/veHRoX9b8+MwaPN0/JwkP9qiO/NJfcqe2mOhKY+2gNus/Z3G+bPlfTLe7HNAmx0
yQb28V+h03nWAZ7V9ebYBhIMU65M8C3rx7bT56sFnrBPzqVpHwPNvBJvmsXkD5w1lbzSfP3uu7LB
GYOMywf1Ax+KQzwD+xaKpb41jPQTN5AVg8QqjxWDDGw9+IAmfR1uKpJ6pS+++Ng/Qxfny8leiDmo
HOoWVNQos4NO7OkTZCGYQ/MwYZMLdTP/dACUIZIsbyW4o9JJFzxWBQUqUVjKgWeFlB/suD4+kg2c
xba1Xn7zTP5ixfIs8PTDeSDE7lcyNfDGUbVL3RyNiosCQ4F8lxNgBeaq5HuGz7OJJQuQQP61dsBy
J7SeudzXxC3yLidlE2tuM+3nBGzD6BKOMWX624yvMvI3UHop3WsC1Yl4a+eaBWYROT07kWhRmnnF
8qKb88c6kKjj5U/KojoMiDve9Zo6lJn+slCIAaHMxMGq5kMg5sfUcaew6Hk/bRBqJMzKmShxu4jq
BN8kPMWXQPTy79fk/4iM+ItFwpmx/c8AH23+NKL8afue086rxlk2R1oNESUOI5iZL8emy5+I9DdP
xPh1CL7tbQzk6Hk78JP8f1uTnW0tDEGn5tibNHoNl2AEwinPCSdVYPB81pZXEu4ZeNpNllQUVIBp
dUu0KdnLbeICHArELq9lFwfuWqM7hFrTLP73oTRuNOnfVUE90Dyn2ldNa0WWGD5IwHxU1XLBNcZh
zGuWWuW3ZN6qVFzexarfdhOBEqplEpWPsRwLfw8V/Przernaimaxwx8MkBO52pZjKma5F8kEnWYl
Y1PBafp5CULI2EYzrZEzhsznfOQi6ZeYqFecaqGzzs/9mMJtI+QJm9qzWRr3JI8iqqFaM7wpypty
ibZfaDX/JZHbCykmuTdsPGnbMhqUc229+dlNtwvEFjriu9g9q45qSU+KW9UxJ/MEf7rXnDe4ZCwx
Jl43gaM+MLBBuOMHXFT5LYzqege0jiOjst+KTD5iInF3Vgs3rqnPmizOPy3rfcoCHsfqzKX4UCec
LHBFeTFZHe5MW8dwvtIna86l4VzlICPL7JfddjFSQBUPM95mRHfOtRrtN7PH+Pnfl7f7F8ubWgcN
CMEcvFG/WoQqGmUI4536OHjLRzPIx0Hn3NsagQkWumirv35etdsxwGAfUOn9XPNNNu6XeZiBnfHX
utoCGNgUcVAGkS+ZkTLCSgmUpv0cB2pajtVmkwNqVuP9tPO42wx0nVYFt6InA3xNORfHFfNzw16+
Wz3ramrsMcW4vEiLckvvLbFzdYAlKiXlqfKprFMuhpyHmdXyQFLKbK+YnkfGd2Fvjo89g4tdMFW3
TE4fbWfKDy3CtTjvSyvq5vVSZ/NzQbJ3BNt/DZ12+XAHMqx7MT563A6OZe5eJYcIl8zp2XLV/VbN
j94/z9f/77D9rsOGBQMdwX/usN31f6Rt8y+9tb//lf9VKrl/sxmWQ5jHUofqg5r5H4aTTanE20yH
Cx8GmiSXUv+fSiX3b2ROBRurYxswbG20P3XX2MDRB1jcp8Ct6MH/RalEmuK/VjM6AChMmGCeddxQ
ZBP+UuqWw0RC2hTk90UZoLbdWTBTgQik4DCDRNj2g+12AEbbClzCHn/UNryct0FmCWhsVteOnCcw
FGVXhgz3ytF6zKjRK/Xq+Fz2uIriCw7FJgVN10af78eq038ARpr1OaSnR95Tb5CPE5qT0abEzmRm
6ctDG9iQ4rOuOMPbMz4t8LltGAyd/10zS67drp+ePYwvYdumK7RMDzE6A7BDurZrZAUVaqUS2Q9i
UncCSmr2NUdNJXoAc5YNLVDXvlN4Z1ENHxFgXeBdXaS1p3xdixtV2gjXpTN9nYvJjG1d0NJBkp09
9t7W0R5atdxLstSCiFE7HHUL14qGtHUd/XjoKhEFepZdOlShqcwxi6Wz+z2f5fhlAB9bXB04eBF2
Ve+OTCMMt0tO325XuYuzw+yJzzMJVCDDQR/z5clzxpF81EQsb8nCfV7TA4ARgNjTJ9RGBHMO7UIE
J+wEBihukl041tWbnZPHcXBtpZ/SxpKcn4S+73SGhbi+QS2lIUJS8QrckfSStINfCcuR04CZ1IbD
9Ym7qpMVVkE5e1DyyB5ADbzmJo4clQ1rVDjD0EduRcTNOC2de893YuqMW2WtIuggKmJ8xpBSp3VX
08T49PrKjuGglMchtymzUsuN0Bhj/W4z76Hj5GWem5UprY2xfSjduj8vLRdBve6MB1x4c9zI2j0n
NiqqkNG/+2MWgREpWtJX0pjWDU7f1iD0UqgaMGxo+9zYKT2qWx2BsyfODNFnX2Bxbgbfj/lB2OAg
JdCie7vsMjqTTY4LSLdIKGggJ+cumoJ6sG/oYRLZEGaYCHwKaAPxUQQiIrcepiHdQquR3zzVosGe
7mkqEC+Y1r2OnXrQoyUjIiHs9aytd5ZSW+K1mQ7tuWiTPrhxmcb/IBNlERzUXgkc3l9q7UY6ecp0
BwH5FVpEfiObMSMatJm/Yc5BM1IO8xQveJ2Xk0qXzNkNrdkQN1K5enYkecBsj4FuV0bI9HbEGrJZ
A456X3v7Js3z+1wtxrrLOglXoe2TmpWd+N52Z1ty0sZJ/Zh3IkH9frOu+bQ5F2xr12Y8zUgg7zB2
eqP1XBk0MgfuXdiCAz1lFC63aq3nazU4+qEvKWyylD42b5zNgKzwsLnQsM2vWkt+1h6TRpWFDp7g
PqorqJhmPrRQiFWXnm19eCS1t1gfgkn70MgAY01B0lSM74rFuY5EYINa72BXE52wtG8KdbYd+suU
Pa+rb7YHOxF9c+A/Yp0NNMLKj+xEy5PdbUNnoiiZ2+ZVZbpAL/DzchwDMEKu2X/SifviTC6U4hzi
xpMsTSmOMwkc7anHDR75QjMu1jDoNK0K84E09A06YAcFbqiU3YxIEBIpl644rMryz4XmL2Xko1dR
N8qY2wv2mmaN+KTy4PvJsIUkIuPPeVbtPhUrVcxqWw/0K3W5t6asirj/m5fWbYAw+QXzRy0XdRbZ
mTKexWrnkW6RNYxVB87s957Mhm+FPmro1ir5vpmw+rhvbZu1ZiuJ+w7hVG1Q1J563Fa7ypoKRHEZ
SVAX/oA9ITUTKEwc0xULVkF/xa1nD5pj1rvF9hyhM32pbBmpCZ2MCfwCY7Lbp7QppJBHaNhWGydj
Padj2DqYQ24RcDAY8ZukejbwW7yA83+1eYW5iQ2KCX+AG+FIrKr34IL+jCh0l2g00W94QePp2G5G
M640Bx7GNil5bJLBvlbgSTBQ9V5t3M4I+m7XcXWLg9+11ls30ttQqLi4v+UoVoycweYOG8eIVkUW
isH+phJYF2N4rOlW9buW8yt9MJRMevQSdrWglKn/IZzBgIGMphvYNa42EQr7n0XC/9dTv6mnLGRd
1DL/uZ56/kN9+xf77j/+xj/KqWCjSW44PSOAHOFZG5zgn+WU7m6Z5yZ6YVomP524/yynLGowJpum
Z0KgJJwtQAP7j2Gl6fyNoGmwkDYQBhpIGIL/D/5dtnvzX+sprroOJN8ATiL7F9rvX1Wco6bJrm31
E+6g/lVqiCmGavnwlVldERN0caYZQ6joGT16s3+LwU++QX3vnkSrPXV6P5wnDvOw8731lowiooIT
y00OctMsT8gJv02eRykE9hY0lZ8w2AG9iSis8ZzFerDtvDTrUGsqwzutRo8ciUmT3pIGhIQF0WS5
tqhJYB+JW1/0ukfELgsTeylOlpFcJ/K8C5sAllSH+C7mvu++VH4zOvQKmroyzlmgXByoZhKMsQeI
d9hncFvFebTTvGIVkYCk68h0liWIc27jxtlrF/PFRrdGhbgypqDKAe7hH7jvLc5pylvsGGybuVc8
J4uGoI0bcim7KGud9lvRJP6PFAqCh5tsQH8Toy/WJUPGAd3bE5fPQkQjX8JwKLnUX3x8J8Nuckmy
SAoD7848eoQvSb0oZLxinOae3hbHGtL8u2rysQ6rxhqPgKr8eNZ9532RDqeJlWagj/KnlIQKHtZU
3HZm0x4Lc34p2tw6FOMM7AXuzxGpIGksXZ1mrxhJEMQslJGer26RCSOAm6bXIa1RjFXDvVUDU2a7
DFCepO7HqJItaGZ+X6mmdiZpHaWyTqkqX1DlQ9wJDEzYvv09zZFpWkk5Pa3+hNNt1QCp8yOl29mG
jidQEnmZt/dhExPR/SjX/MWtzM+2yscLtkX6SmV6XbPOA8E7vrf1cK5l2xzLMRfRZifi4DbDYYGV
JQSMvp6hZ5bW2NfM8kXoWh5NvdbGZS3/cPPGva3dNbmfg9alQFUo2Ei0CAdCp8plKg+2tMHQrPLO
LCjwpJRqlxqMnUFHZDfJVPW3/jibMYE7+slr83zfKNIMJi3FBroV9/lkgkWmBPruZ506q35ZYtE5
2mMqFjtsivSPxEraO0cbn5wxB/oFQvmgCxQn6HnyDSPmQinXQdO3i6OFjTPtR25fJ/aFbN/3ZrBP
a8feOZkWHKQ7/9E6ZX0aMybmCXsHZihoY/jZ8++tRaS9dBDDpClhNoFeD1Hbwu8ZmnHZOSv0e0eX
aHQwdoa+qZ4NzHU4x4FeVslpXRvIdAOtHWfUXh20nqFVquKcdYgGNGbLn9bk9F+n1dsBtwmLciac
e5Ad4U9oY8sb6NDTxXVHVvzUI0siEVdj7O0ySZEgRx3SW3xy2fpCrgseL6UdsbdNj4shZ++psktx
7+omTt0uYVYsGMrt6T74sOUTb9gZ1VQ8IwAeAUoZa3rICTCli5X2HPQWKSMRL1a5hjTNPqaqs3Z6
IuU90zuDs5TXguxliktfqeVHJ9hU49Szl/M05g1TsHmZgwMi3FzttMWF+tzx1UJxHObx0+i6GXLf
nIi9q6Yp+8RaGrDW5mCLTtI7MV/pIg7vg8PbYm5yuHVvyFq/ZE1Qo4Sges86zTzoJmVXV1K5LYV7
ANjHLqHo2bXEgsSOxe3IEivuNtFZcRKs2IIJR8Huur4pBO0vXi7UtSq0byypV8JuCAxHNBbX3Xge
tc6+wp8uo75Cq9do+Y9k8PsoN0X+UvdF1YJQcPJbWl+EgdXTakV0kGnt1cmXruLeCv/PCm6EXbVn
I0DS7GFdl1MuHhG4aE8YfDyKeCePIOR1u7UO+gL5RMYynlFXxsnm01uqRb91ueoRVjgOVEXjSFUN
sJJ/p9m3P61/26plSuZim5OoRztMKxqKP2SY8r7K6Fvly3CcDcrbMKFdxVmy+giO3QbV9fIOxcBh
EFsHH/RlHzy1aVuH0pJHyx/f3KWg0arrWmxa8kRpCnhzInKY24QYmfvYdlxoo3YBs5TtfTkZUaMT
ySBaTHRLiog8AUseDv5yzWe/vFs1IpthBnDHXiaPtqcyQzUgJZeeOcUjwXUHlBAKRb7p74KiIFLG
IFxyC94iHOs2mNi1GHcs6DcC3sRRNSfKXSd0Z27yKcSLCR5kWPot/mCbKz7fW4D8QQGN74JTr8st
WUIhPiQl5WMRrYx1jSnGZGgasqCyi3AfoAqljz08B3kRRBaotqizqwDbUHcKtABFniY+Ved9qXOv
jVema3t9EPnGD1t3mr1pDBuV7SdkEGet7H7Icr2txmS6GAqx3zo73a4yveaOWY9+Y6rNUK4vxX7O
R/20Mr48akSdIwpsylA2TND8lFQBrg6wv8oCmzYU/Tunc7+uAC1Q7npGnJXjV2ic5cUhtDk0lgZ2
hjUvTHcK44Z3YDhwx4aqX5afk1sFeyXWr6ngXyU8g72MW1Ryi3Y9MUNJvCIHf/q9Fvij9Wrs75PS
THaZNIbrbPuSw90UIbX+O+EHnyLo/oBNV+0rh4JBKvu17kmXB4fQvVQ+/9Ta230oJjV+9pNN83xA
z4Qql4CYYc7ugdEXD4HZihNS2PVGEuq9n70Sf0SCgl2yutil5CucPA6M0XrKc7zmMlUMShRipcnN
q+9mQ1O+Rv9wmuza3RfSw6DMLW9Po7q+YeSxEXpWG9DB8n3IkoXRgksUc8DXMGcldrug818G3cTl
bdE54TQNmG4S7U20zFwKvnw5lsU7y74cb8e58Z87bws2xbb0RCjcySVfZkdDOOX6X833DnDBd69w
n8DjzvhG0qtttsPRmvzUQhtSbPb3hB90RrLkl8Ap553i0oSt3I/tNYGd0mHf5UnLeYnWrl7C3IUL
u0tb84fTqMaJFp4zgEqjvZPGyj1+VeRVKMf/OpeD/j7p6qMQyXi36pZWxFJm8ligVb1zalfGBpYV
oox0MUoQ/QtaHBnQXHIc3gi9fuz8wHlEnwDNkV0TygfOdZCK9lB9Dj1WyW2hpjxTZA8Yp7zePQhh
OCyZhsnwsR+CFUm0yTHP5e4JPRUJYqN+A3KrwEsdEIWRkgU1ZwndojbDFZFaPyp3cJ4aNzc/jLTQ
arCublASDzypk8At1oV5mRVThANBfeiVX0WinYande67U8LmeSszDepn496vLpwZKIJeJDkO1JHm
eMHr7ErvR5J6OCrMwbsLRid/dURvY6jKnaiv5yomIw5BXSvWKuLGjIlitNrH3rL7HD+9PlxB2fj0
8RM8hmBSJxgGvT/WkVTDctdAjz+kRl/sE28e9waykFjwdTGMdbVD4dCnPzBhy1/ZzcpXjrjprUL9
+lQWY3LUCy8/6c5MxZt07rlrJI3HnHk9EGaEhS+pmSMdkRqeo2DN+jODXRZERq4TctwqOJtdL3dZ
rQg0UXYj8NqkerzqQ/8w0i551f11+uEwrDr6Qxtc8E6NdzD9+i+t5fQl668txsgiMpEMJwyHVFdM
GPuxbomkcYb5GUeVGey4J01BBDXWYi4J5lTGecF6uACWxnDiJ5X7ZU781X0DapuvkfQVJ6s/2QEL
sVdjuPSuSmMbthp8mzJ7x3SAM7z1picM7lgzh6zRbqtG5e/AqJs9LIh666ap6jRNjR4VhK34IRAt
zQ+Heq5f4SsnD5I/elQ12ytK0Cd8Vw1FWDd9b+qmjbTMQ1I2rumlbyhJq0Z2I15PWT8z/2FIDc/+
MPt1CZBr6PbY4bOoBWWwE9paDaHTC2c/G838UNkOuVAOGb4hVKQyloUx3dQNJj/bLJrj5Kn03hRW
sjz6XtG3dyrNlBMFqdI7t6R56kIl/lGLLFgGH32daSIyp9zMfcKiSlT89lM7Eu4GDZuele/1w7EI
shoaTrHI9QKrAWTrUBhxtYqmj6whYx9F1oOJnSzV45i5zqvpb9KvlThV79iXrMXvKHYTbIlFkt7k
UgJs4BXuC+Q06UynEfbxrtSgRYbZ2Lc3ciT/YBoC41F1I3cBo9O2YM0skuA8zh2+mFPPOxnh38lv
RAHiODEn77Omh/Shg8tbwx5LYnEgS+95KIMkf0cdTJvYDuZbmjCbEmVdnQjRgP9H64v06E4010Nj
BLENPcl7WQuSS3OX3TkOiILfD+awftMprC/zgoWs4n7cekIHyGJP59XsxgchcvGWKbt+xNECdEDk
hCrRuIUhbFiCCV+NF7BkKNzqCdUBJpiDKmlR9rQxr7bdYQjia/wyUEXGo1LBbm2MIk456yjOuyVW
JkmxU+WdNNHIqOXi/kh8e7DvS9385tAUO9ZlL8KkZGeqQFPRNG+zQ55aEjius/UJa5iikALn71Wg
yUNl2neWyoIfjEruCHgxUPXqREeZ5nLsDBK5ymlKb5AR+gojkT3HvDfdXsCYj7ul5H7DS6lDospR
ZiZ1FiMJyriNaOXXgZo+bAOvPmo52e7azEnSzG5Df60ah52ma8vOLjD1tAl8oibwtLvRWpdHAd+O
zMXqVpWk3TnMAuAGz1pFZGaW/SGEa98mSZ6z0XbpMQE0a5fDltwrwKFWWbVbe4wJPaJRDp15echG
PbhKlZZx0eTusXRzJzZpo5Jy17bnXDfufb9mcjEMqt1NpJ1h/yqipl0Yhgqj868lfUJgS3oZG1Vi
h0UFJyhldkaU2ICZs86z+l0Tw3tneYDHpX+wHWXowOPlDyLQBvI7dIKtavIZDS6exIs7RKaqJq12
S2nRffBSN3JXQMiBlcWSpxWajXojNeeSpZCW1u5HU1RvQyG3923S2xgTW9mGyrJiqAFmiO4rOaPe
xTk8qCSsUx3qPclB+k6DXFTF/WYDol3a3bRu0fC2DN7BwI20M3vIOVWalvf0H3Q9mmw1+bGEsn8d
RurtQpdQjLb2j/IHcQo6wuLXWa7HtPD1P+aGK1oxFvJY24TezlpnPhSjR0dAkHGaqfGMKaQIdb/0
zvS1yJhdxMkXbscBrCFv9Gr5sJZZuk/z7jv3NUqxpdlQ3mtRn5pJyJKM+mF5lWNCIqGcby3MSS+U
Us+51nU7rx+9S+Za844UKArHFkTNvHZDmE1aHzVy+hoYHfLzxQLGar40GlteIWktC9zAu9mx/Fd6
0gB/u55Rle5LhF+J87xuYHEHYuqlWbKbXGveAToNxIhkT73LTI+ddD8vVEdQupqnrDXfLdiaJ0s2
9g+odH2kp6gMCap6UZCKP4WotXWfwqEaQ7oeFN9KTAxg3PrRh9OThm1aGBEB6YQI6MRbh0pKBLzA
1x47g1hG5itJQttpnOe9M6BrovivDe44ygGAZwWPDRsWMh3LaV2+Pcj9AFizEdAOa8DVy/5sNpSS
a54qrjpJxKMS3i3GKXEnsb/i+Cy1FkZrmRuha65EEkgfPUE86Zm4Yr7wT/yC3yob/9NMzUe7aNk8
/Dw7B2RCnReHw9Ww5o+kFFN3KDEZxbDs7NDzcNI5lToTclWy1I2XniNpVxmjCCdz6wWKJkUKPeG3
NcCosyao8rb5HzIie4dhjy3BVb2cj0x3jp7siBNYz4xQ9V2VC/1UQq9OgoFap3I68gy8M/C1kUjy
0osxUVZn4dD+6wJMR+SQdeClUKMldnfTp/IhKHBT1VhQp2RxEFE0D50tCA2vF+/UQDcIPW3MIJiB
3PLI1LybTfuVSdtwIdCLgNSeDHBCA5pDpos0ztvaOKqCy1nvTMOpQUND52JsQ710fgh0bg+Thu0N
+2a+y9rla5kadM7Gxdp7JQSpYrS+J440nsg6KJGLLnOPvrSFvTZ48om9zwxd1+l3HiiCc9/RjGIi
ujMSzb6tel+jz5LnUM31sjwGbkMuesUgbrVsBNf5HEyxhw4Tf7OeleeO89EggHtPpLn4Nhht+74J
POuo1Nb1A6hDonbGUmrfWkaZd55eaceCA68PLTTDR7+ETcz42tyhmi6ySOV4v8ljjMmxXL5TZ7G0
UgEDoDD8u3a2EuYc2fSh5e5n2huLIHdAG84dbeiHVdnJzsk9oktFrs9fYOJM96aZ2et1k2uS2eXV
7YEu6OaZHi0RrZuK3Ghzw8PNmytG2DmRuWR2i30uUKXYxDteDcRycudwGBzzRD4vqfOFCsF5IlWD
WVW3jEfWwRK7/WBwufJfZt9lh88a8ynVK7EbMuvON4YERjMGg6JO/B36CDMnxL4utcvM+Mi6qaCU
hd0osws1xKj2KYQGXCy5O51tKHzoD0ddFIc0QadGk4iJ4UwvjJqmdo0QXFRBeTe3+NQ9fOwvvbAB
w3U+lr2s9QIoWDo9vkUUWAXYF96ZIAbWdc4d/ZlBsoFjuJvW1wmVZcgyhhJp0aAmOA474q01ienG
4+3pdugURtRNTX6zCoEhmQOL+VI/pVRMgO9Q3Y71yDG/VULsMu916Xpf7T7zWdpTMR4FWSNhp6mO
otW3fVh8WiVRLFvqyZkEePRGLwXuh0X3eRJa8FKZQ/rDydIijQj1TVVET43UoBJdJeyMOo/XTsE7
8QYu3srkiKYErUUkLfE5U15DouseFgihALpcsGIlwCRHTPMhzYl8Vak0X2EYNipybDbstXeMe5D9
DLixqPuPA1YZKt4+be+rVZOvGk6js4UKYwrrNfBvezLZX0uh6Ve9npeDKZAbcnkdrIcBlfxjQMhE
HfZGElw0LTO/Yycvz+PgyyfT3JRvyoSFhaqPbTWsHb8xqRkzAuCdgWGcN2/hE9NMVzC0ekR9Vzr8
m/Qh6K0KTb25OPvRnR2edF0waexTAG/lcL8CNMVSsQgTHUarnnW4cufCZqtsKnJ+K2Z+74kxUKit
7oiOigYTAs4Aq2Va5N3r5DrtftY4ddPW5jDjlYq47OSxng4QPskm0UNao5ceSMNJzhAe8V2WN1DI
m4HK3tBvWnSMX8aiAW/oqryOMm22d25vJ2wnIyjDshNX9LP+sc6MNMZ7Lw6YirCfi5K3ROtR1/nI
vd/o3mocYrN41qnvbvq2m/fTSPVPO9OjS6Nlj4QhSIA8WIMVs4xdKob6dhqDD00aRszmlBzdzBkj
bVkNYgVZGlaB2jbviJHMDP8ec5Y6zdDc0TZ66FzdpIrskVvHRMW4o9/cnwdYBLda75U38He+N74y
YonddF/4y7cUd/3OtJHfJH5BW9FIAMd3/fKi5Vay95DxxP/D3pktx22k3fZVzgvAgQQS023NRRbJ
YpEiRd4gKNLCPGVifvqzIMu/ZXW3u33viA7b3W2qWChUIvPbe69dW6jMgN39fdzD3erVBPRC05u+
rrISDkwATSO2R7HBdu+tWgfXpmHO6iXBT73mqDAfsKRgPfaE7s6+VzEHFkGeb0rH6vPL6MQJpgoe
NinsB7oy5j47GV5DkBX5hhmrYKdRxTuR4SkNqvnWyWb+dzO81/Y43Q1tyRy4z54CbX22IxZrxyi3
CS7RBe7xFpSYVWhySDbDEEcbbeTA9PGV7yxQ0YeBznJ09svsU/hcScfBtWfSNhvNd3ac2Ks8bZ5r
3aRnKNZUmFko4k2772fZvxojMohlG59tqOQ7c2aHPOIG3dc9D+rR796KIG3uh6657yorpzC48nm0
i+UgGOfGnW8HE5WhVnxsUMxPRGg+pOF1N99sH4r1f5UggzHoIWHVDlBXomI89XU9ksH7jpL6R7b+
L7K1BTYMIfc/y9a4Gdq38u1PPsDffuZ3H6ApCcwS9CAJZX7Lxv4hXAv3FxOytGm7C5aebq4/fIDB
LwQh+b8sl/Zf6f5ALJPyF4oJHEyFFk3Xriv/FrFMLjWMP6Ya8NWaQJP4Dy5A8gY/Jw5qdusWBe/x
nVfjrAI/im+LmanlrJk+Z9PBqzK73HVZFC9YHru+iegZZwOJiUkzE6pWtEmQ3vFNhLtjzDATZqH2
3PeZMci2wOcnV7Kop1PVZCp/Tmb2j5WezY/UjsZgJbqMOa/pCG/aFEbf23vK16tPXtt61lE3AWmi
0U7UcKNqt9zGbcZkk8qQCeHYzW5qTtNrqElkXSbjZHYTaWAFhGUt0nLm3DWp176zCBrxwDzKfjRR
zVJqZ0g6daBY7EgSTgljJJihdOK1dOPkJsfdeOxACR0M1aljXxVpzQikHO97JicWzsBNZQXPQzna
e8aSLafXqFp+q2lOn0dH12u7Y7vVkaGPA/ZTB7RwJcQGIS3Ejl7lKahpz1YcOWi0iAis5kqvwSxk
s1jxyXOVwXmKc2IlzpVMZ33W9ZC614PwnHeuCIlamllC9Ti79XxsFV4dee0p9ONtqsSqloM71nvl
1xAdrdEabiocLpiNDl4+CWGWO3fmrI5BDPBrax9STIhVM651Vveddz0zEFcIHEJjeBghFLCbiSnJ
iNRo9UdRZCLor/MhYLvWrkaw6n52jHzD82q2MY586W1LXLSG4ZE3gTF+YOmp069BKvRX1FBrwDld
aqcQD7RwCAZ4aCt6xT7M+1wPOYeepgj6E2XM2PA5v3KhVBbGnMS69JhIEmVbpNZ7eEfQjBNaoiiH
He70lPerpbGD23KEmg31DpyyJcSVDzgXIdecd3OSZPsMLKxABry0nK+ohKffm3yuijlUNS0ZTbhJ
ci1BgQGQSX1mt2CD221uY1coRlPt5mDWb5VV5+9W2wh7FzDXo0Kr4ZnY+qGfw/BMFcYohm1XGq4R
QQTSsylHeHGQZfcap5KC7JmnyNngCiLnyjp6jZQ0r+nlgtExOsYemFC58Xi5m9y1AULNYrwvq1bs
4yHz0ztkNo/yM5+qr8wys2tL4C1fsbPuCSK45bJVcW4T5AkEtzaXJ5dH9lUZzoReUnNiEhW/8TuC
hzCxhHYIF1jBqOTqpHsi/acZu2Xha6ziYFehMu7rFCYuHl9wpsKrP1G0fuvgOLlf7uw7tlfmxjNt
Su4acTOn3oTgQX+WbzNe9TlVKK5AbX6txGTeIblHn6M6IaHYyOFU9dRw6Bxj45S40R6bBhithBhb
2DBCtZA59kwZgodIGsh+1JWcGII8zZZ5VxIJWHtG6J7YBzinOmk4Y6V6eHaaitFvmo3DaUxs66VA
ThiZu86ct4fctC8uqRRCydr+anh+XKxbrsYum1PAo23+7gIPXqsECWhj4G0NluyPfKjtYWT34/XV
u/Sn6NFJsZeu6NJyvjBFh44caM2fUcNa96mLJ+lBr0jX59QYudVVNjb06IDW3YY40XZ2GfkHlKBw
NTB5ZGBM8eOudTjNrjyU9GsBrfGxjVW2zrk+j3Ah77mtq4tvTadgYKDqZGEAEiFmJunbHNh9ZSRE
TWTuf4xuGZ+D3E9oN63KD1wywSY3J4vzWQE0c4utlmCKKY6hm17aQvnHiSKlTcbd/SAM+iFXhFYt
ej/sEPPM/Ak9RwC+ciLGC15DLVdOuAxitP2K3MUglRnRZhwE0aXRdB1OwQMqKmVqFw5chE48NTxD
WClXjp1WN1ZeZ3rVe+O7MZY9aCG7/Rplg7HOnGbeVnnMBFda9mernIu7WSTBXT/683kq2aSLPGrP
llL1Nb1l5oMnKMFbU6qXNbuq0uysq8Z8w7msNszeqksqDVoWpyG212hKxkpCU/o64ms6lH3pvdhW
OwN149baziw565hiD4hpUTwwr2Tl9wdmR57fuzdWM0fIdoa9k5GwPkUQB679wYmvKsDH5wY876Zt
sCRtpyCefk0mhTcFMHW6xiSFWdycctg+QhdMcht3JURvHWd8Ld1aWqB0isQG9AKE03as6mZMmbwa
zNFOc1mhSnjGtpuy4KbpLYdD35TE4dF2jewmNkWzERZInVz31mOq8/oGl+30YA5CUyPlxsFFBmN7
6P12PFboNHLFbHhY92yf70BxZc8FtZzPkV+qc9nl4VOdhYRBx2aE3eTPn4SS0xYmUrqfVD9tw6lt
VqZbavynvNsKy71ltscyn/uaNsbuE+o2+nQidbkxEqdcuw7KeGPG5nmROEkb+iFZKSy21Oplw3SN
mbfI6HFCQ/MraXMd2+GzHD0mhj1J1WnEnL1Om3C+Eolw3y3+fGNdhWVyjlqYQG5qBs/T7OiDKWce
9H5pdvlKRzrZwQ13T7g86sfQ6xnLGQ7UOSjtfiJx446nrqnUTtcE09b/eDrLNmmn/7I5JiNt/WVG
5vpfO1l++5HfTZ3kYHBMeg4GOykB87LV/j9TJ5wZR1omq64vJIVUf+yNSap8N3Hi71xqo+D4Lzts
eDR/ay8s5M+ZGIY4KIMwn11m15b7M0GgAVqap9HoXrOj9cUaC4FAUWNdHJi4a6Pmu+BZc9gNqwyC
fnhbIW46a+WYhkI+bYmWP+SsRkZxpZl0Kew588hA4OCHnSBCavcOCz34tPo2i9n0eztQZoUcblsz
S2KmyxbDkDUbOreNdq3OC/fUy0a/E7+/b2HjhmthGZA+Y9fb5TIIpp1uIvZd8/QAbmYGZgmbuyar
K4C0rYgXp/PeEkqbp3IUuYMvw1wWNypb9CFvaOE7p2w7H1QTBi86n+14rQBbLjpan9bXbqng8VVT
8NlgW1rxEpM7b8cgtzjCeh6ed3vCJ7c4zO6ypnRfGs8bNkZQDa9JL9Pz7EDKrDrSLYlacB9pbyEV
V3aMyttWRr3P5iI/prDJX7EHNJ8tbVvVigll8F4F/ns+Trc+siZiT0bmgb+EhOVc+y5xEhOGAIYY
CFtUeCzTsVVPLPm+S0uWCBM1lOkZERwytl5Q8NCqqCbENzWtkBP7A3Jbce5Ep5/GuKD7RE3Dfoa2
ds98YLpiZ9bg1EgI62CKNRIamtPkg/vBuU8zDijbvrKMu7go/f3i6TiQChKkRdryMSYeArCrq87V
LL01ellcMfJrrRvpMH8zqhyNzW0s+66SIA2DOq/WBWbnY58ItODWmfpN0i1bFKvstkbMEGQwQnYN
gz0f6J1BW5vCZn7FK1CzvcqNPbD++Shji1qewvKOsRb1AyP38LYzmupUGVHH8GI2pruxm11mRbux
l63Fqvj731uy5H18g9u/JvpDU4i39Kz2gSzVVQo8mOBnQc9GTtiZlGka7CxlXCjL8wcT9k8OuX5r
xvBF3v9ZUf+XFZUUisVC95/HDedfGS9ynHn7CZL+/Qe/r6ue/AWUMBw+lpBvhnhW6e/rqm/+4izF
Z4Hl0hW/gLr+WFctsodYB0wWU7HwTViNf19ng18AfyzLnU+C3F2GBH/DLG99W0f/RDnwpLRthqTw
jumA/HnmwNRTz0VtTgfHWwLRJAAJglCGzOlwocxtWbmEvWaPpIrd0LrsxZFQ1FH6FYM0UNMDbd45
c35sVC2dlTFeLooIcPFCHXlnvBbeDa5LGBwBd8MoexSrufAdrJuG1ttUTDR6YpWuV4athbH10EDa
FdINexKVAjU2hFU9KT2RRUub+FaQIdh66DufQsuwWVVyL96qAJFiS8KreYgyegUPJogEn04I03uD
T4qDLRPVkrUCvgZkqg4gfHVjCF6gPCTenPxqAGR4H2YjuQG/C7NiqnBAYTyUJ7pQltJxj0YCBgV4
JladE1nbyhicc+BH+TWLXXqHyN3e9IM29oK+WQaFoaQftu3HLXnIbIckzszY4aKsx5HDoqFcukGg
to7ohviS+9yxP/mKyywMD49gZ8XmVckQc1t6rjxY9G9srYArLxMproY5KM4tzwFG8XNxT0lOdU47
XwEg9iUGLJMDouMxBkr9OVxnA750Hj9mu1Z+cVNCLza3k+dyOsPAQrFK6ZjP0MvbU1fJzxoa4YPQ
mgXVV5AjiZ6lUY3N1s/2S3nW05hn1i7tbJ+WpyhdOn/DkIhExkzYNmG9VeV84zi9viAI+enWdUPn
Cl6b+ZUHabmVhbh4/bkIcrqxBtkwzTXPEhNBtSTobMrDdPeCthZ9UoU93tF6xoi3cLeAUNu1g2wF
GLYt9nY55ldBrsJTUKflvWO28gYh7zkZJOaqysygHHbTrsR0/IBJFpiwQWp9oHvJrES7zrI0vYRd
Y951hvY24SiHY+RW+yy1/S1bgGEdY0vYhHPFwyygLgOfUOjsOrfIvgbD8I62YsCtkyHesDYXF27y
aAU2pjlqrMhEXAOOE74zcJ6z5MYtnfuKuw31DU+YGSK7+HjAjFh/pkqULOzoGbsYUChzM5/fUhMn
jDqIWKITCfC42PhMEBkOZx43FycnMzIxkbzyfI0N0IhpaCE8tc7Ru27tvuG+4bYF+OFO1r4G4gsC
j4F9akoCqjV0czC/znhBNluaexKKNUioFlMkPqF4jsmOccmArccR2AJpo2YIH/sXplgMB9Y0Dvkd
MlLmDA8OyhYhDachmvckGJ2kW9NJk2uXOMt96wOKfh7ljCzXiTS3d2VQGehblMTw+vQ5BwDpnwO0
IpOhvcBVp0IwZFspKkgKiIRlehyqhcqfV1iWVmNqzrLcq8pQ/QOUVzk8tFnSORx7IiO1bzPb7NOX
LGvVXG4QJEpoIbEDF4dERYBHTuP53XCbRdFLQf1wDsBNEBbFK1Bwe8KbM7cjek2EnpKMvH1/mLxo
k6clMVWABbBwIT358oWGYxz5XhaIjPYcMQcEZfKuxXbTljb6fBmSveZvbpgdU7NC2sA9CAH7scw6
kGRmQzR8bbXKCvliiXH7z5P6f3lS2zxgCZP95yf188Q3tYx+FAa+/8yPwoBjWx7zd8sEdMuT+PfD
jxAcfnh0U7aDecAjOPc7H8D5BanA+j8EgA1V4PszWpqchRYOkumD0/TIwv2dZ/RPrCPTNx0yunbg
LCwiGXzrcf4BGcMRRyRO2Ay3XfER6RxB6ssPV+PfMMWW9okftgD/8gLLUeyHF1CjnRf1yAv4KT5s
v1h1wVvS3yYBZtePv36pbwygP70WGe1lq2PbFBdAKP0JdUDwk9NPLsVN6pCyYJxfGJZtchzA/581
zqtOx8h/jwlEtyapIiqzZjzdzpSUV6ZtNlHxUTWYN6O7qJMxHCKY5pG5h4fW/ZrQK5MUp+63Mby5
jOTz38bzPuPWa5dhVPg4gblPl3G+RnQ9p0DOCE3QoFa2a2uRAPxvaoDVuxAyVwNPd7T7vGji7KEJ
rKhXa1eWvUdzeOWzumGltIiDddaVEnXyCTZ9d52HTUdiop/yYVf0SW4X1x59UhsHUfXWF6yer0ZF
PCozIp4vHEnU2iSMZd+hKNbzdUqXg/EwEPqS5dbuIx42NdPRlKga4RKV6P0/q8b/smoIMFV8Y//z
qnGEg0rvsf5x2fj+Q9+XDd8j0uqxAggHfyTb9T+4IoH4xUHO82lqRG10WAL+WDeoOTIx3/tSuOD7
TMnX8fe9PTMUIrU+uv5vDOC/tW6AAP7zF5tpjcWmlC8ZrBKHatzli//DFztxE5lif4uvxkZAfR5q
LPUM/UgZNh7tART4yA1UyOABgwSVlUCYkpAsqu+MVNS2VXNQ+BnCtQ8P54pTuQy3KHIzcC7THO87
WxZyL1AajPssSNVzU0rXWfe1HeFcxadOxBIp5JQPbHhWOeWqFjgHHuSrsOrcU5DS6bDSg5rJyM7t
kixcqKU5cty2FymDfh7MIcMbQAgriTPsS5BO3rufL7Ne/BfbiMAFz9d6Md9OPnAVKloHaZ0CC4O5
Ztt4MwDZXBV9d9G5Zew8LexoxYHOtDcAZ5KHOk2n+zE221sVWQV5dObhW2+s4Kam/hg5RBdNvPBu
Wl9yp+73/PENgY5qOgATIQ1QK1SCmNFDwkkcx1NS7SiP4QGvYzbxZCwz4Bgs3DuJgPqcBxjxEsAA
D4h57jaI5WvUT/UdPKFgU862fe6sdNE4ORHFwjrH7qw3Tul6WwNVhsY/Iz/bnpHf2uVwccyBRrU8
x4Rbj1787pIb2UuvsteKU9y1KApot5TvXXoFz3nVxUl0ozvC+0Nc2vxu3dydzGHbWFV1G9aq+Jr2
brDrM8kYywEHEylPXzihvjthSPUtHdprcLLNytX8hZrH50AaOKs9UrX0yFz1A3QNj1aGh1Rp+2KP
wXht195wTrTZ4L6Jv6SWHb9h6hwAOI3XuelMGyi5eIYsLMgKrNZ9X43FQ66yAoMj/UwW2QXYVpiS
wiC7V3na3hoYqNf0SOhP2QjhULKru50STa/L6Fhb4fCbGuMQEWMKo8fZ9wyCxT6J63VaVgF/bJqi
VOLZv8ZNZV5NZveR8+8vD5L83utxKiGxhMHFS5z63mcWs5pVmIarOprnW7lE1tK6N/YZJuj9bHTl
xbS4oz23a0+ATeT1RPS6JsZCYNLSN9Vozy+98pxka7QtGAe2nJsagHOzsu1ebposA2hMbGBnNORM
OVpembF70/e68XBJkSfjCZOiVxEstcuFg625B9F3cHd1odGu3bl9Mox8Bwrm4ifYg0LvWvYcKXVT
fp6GLj3Htroz2vxJTExE8bFfRGPm29Kv3zUzwyP8hafJjktc2Pq1AA6DjxIfJwZw65r4JxTT5ZOa
PowoxPe+OF3nznwmnMKpbwrCQz30xs3gB8E2xGa+HDFeWAz1nUUl887QGAnzLHLAzmv5JHmcrscU
+gpYM5OzPi7Q1LjywtjBJmsRUgmbbecVap97jXVMNe2GyQlbH8HJdl6M1LewJzjuuwGnZ1lsihHi
xzDUyS4bOIbKLNUXGjXye2aD0bFPucywpO1jELjjfTHm875kvkYDUA3HPxth/6v+alL2cFQTR6MN
is1wP8j2CQ61gW8IyslAPQA1ITgoJFJXmRpLIrERGH8Brg52cRoq5xbt7gsbEoeT7hw8pjYOTmkR
I4ReE54pskzunFi/lbKmTLyBaDYn4s2tsQevYmW2r1rxlk0aLTeqzq3rKC+LnWk53NImpxTm0d9S
Avl5YtmF0cx6R5lWVa29cnqdAUatwLiE677jHkymcXoNJmysK6zAzUOjiGabcIuRl4o7uDxw8Pog
7+pz5ITiaBNLQNZlKMQhy6EbQs9pdawzBMtVUrY5jJQyuLSp95VD2rCOrFHsBqhS3crxKThB3Wr9
FT6QogrXklDMCCKkc5bwaOIaOzETHPbxZe6muBn5ipfoe2P3FOeTFvIwAdS5Kkoz7ni2GM17ZqTk
AGNJTzXw5sFy7zLlV2QOweoesg7Z/DRK5d6PPLAfbBXyFckGbr2janvns0b/vornghILSv/Qgrn7
cQZTEAMA2wg9uRrc2rs0ueFbtNmY6qqyTJ+Wl9AAU5eWpC6a9khBcnQX513+4HOk9FaqN7w9LVLc
uME8xC+1D5K8x8d94AQZv0EUMwOO8irFAzi18hTZCgunx5ibptOBmGJf+3w/bAL4tLDPmBBZ2r8S
4oFSA7KCwE6v9XkarQbd3p1GBcaorImGOh1HSDnOHdEru3lrlJm88EwGiTQU3Y22UWXD3gm+mmPc
4eTLQ/tiEHR5Nui3uC1M74gDPUfUtF3yiwGSZRLbTcfciqh8FIDVcqr+WLDarjX7h2kz4bsm8BZy
FeE/xv5T10/OiZhg/mGkZhpeFUSp9Mol+XMfNtJ94jlC2hgZd9dNk4UiiOOE8UYmYpDzdFK8Z0kS
SBajKHyCmd+fR68hGlBMsXEGQ63rlWUX6iWFmXVr53UUcRe3DOmtoJiPxI2zD+TNjNxM+ZAT8LQw
RpfhMRN0H9Gcx5e1rtrmbm7sJlzrgZwzE8kkpPDWCswbxiTDi4NK9GtIwO7Vl7LfAekLoDNFQRTg
+iNppUTan0uH9WZla2W8S3PSd1TQMHWxDV8TNZtqdfCMoX4NorH01xNC07EWrT1s0iRtOK14RfpM
faokPF/ZLUo3ZIWVMdrNrUsH+pHvXJLuO8ussTkt5C5+cxBCnjJfoHaEclsmZjZusJtSB5bL5BIS
QNg39uStS3J4KXlxyu1ZnlOfYUwPuyqzvBNjm+ZKxC0Bm5ru7Knv9IZgs7vy8hoCm6/ktjEJO7up
1W4dMvtyJXR9j7zS0kXvBKfc6DuSwCHI+NFL66P2JK7FIi/VS6ZIuwCc7Ohs7GB6fc4mqy7JhwcT
hc1pM//qsoG6Cc2h3jDG+EKyMfjkxWXxVsHTogQ57/MNSzzpPQpxoK8OEB4fU2eczGMCYe8mQIh5
7UG2HuoYvNHaipwZq5Y92V+8QcWEEYT9FLRxzKGI6R/+I9VztqqAaUX+yD9mc5f5h9SmpMDPwqZf
vNfirQ964l2lU79GMmzvnaClHCodLZK5MxvILVSojnvJ1ERJmH5+gMxtsICQGjMgwafh5yRoy08T
ZdsaT0g8Xne6m/Y9AQhgk2hwyEI20xxSRVjBqLQvvdsIcaiKi37d+waVMbjAy6kN7mUbmLedJ6NN
FCDebJygtu7cnL2hLyJv35DUYrKmevkl8GZIF7Kqoyf6GrHqpMUgyekZtsCCqxNzH5BjIrVkzdsB
kfNo4fjYzxJf8Vzb+a4zze4kjHjrdqr4lTxQR3qgc71f3RR9j4ayMqZ7vVWfIscLvyAYhru+ogx5
xacJmoU4bncTWyN2MbZZGmnNoWc7wc0tV1Em048awF25oiioXNVGnLO02HjXwiZ+zsMxf8TAH+/N
xDE4H4TdSdUjcAFGYv41nMFgHSF4xkCornzCJnpXqqYjNAaMd8UBO/usyc+rVRyCI8GiRHp7W9eW
u8VmMF9nhqivBrTlE+8wP1kw9N7DOWlB7sMQg9Pa7yKmg8cmj+yNlc3PNVUh3RptXL1RB+ad7aYx
fqV8TB3/OSX/L6dk5Cf3L30Ft78O/++lUtmPp+TvP/S7AkZ9DaMrwE7y2yF5GaF9H655aFkuwhNl
1r95a5G5fpyuOT5nV5QuZmzLSO6P6RqCOpqYsDErBMtM7m8oYLz6j8Mv6TsQojgd25zXqUf42Wcg
erfpTTOqjnyZsdVnZeTc2Wqob+ccoPAPA4R/M2j7ydPw7bX8QHyDXEnBJOzP5/Fe018KjaU8evYA
Ba2fxC1aSvA0cQVOTQPE469fb/nzfhi2La+3oLZwO+NoDuyfieyKfTaGJJPXKwS0twFKT7hKRypo
21HaZLtC197aoy8eB4AAj3/94j9NFZcXd0zPBavKp4dv5Kc32xgmCVStSpxWbftR5AXB61z0/gn4
4XihYSSgts38b2/531xih6sFPxlxFDY8t82PI4+WsZ4afI/2+kKM5yyP2w8Yy5SABYkaz5EJEuuv
3+a/vKAruEl5Oc4eJhSzn4an1DCOTClVcIiNEL6gD2Zxilvs1r5tvNpgpV/++vV+bpKWPh4dHDYW
Dd5c3H/B0rOBNucoHPtDV0GgxrcYUgc4z9jf0C0kCd6pS8Stn5cSOk8mLg0IpScaQj10LZfeaaxi
2ru0k0W5ieqdDsRYHeuT4ND+ebL8/3IXON6/3Afewh7nu4+DCOL5Qov78RMpC3TStGg7BGZM3o9G
YTnhtY5ys9lFFTJt0QCRuUKgnXJktKX/kO/gdDEQ+A4017juVaJ9+1gQUGeN1wREYjfnXtKhVV0X
sy9uRyLL8VVvWoREv3UpFpbJdaCBeBabjjAXzDWV4OCYrNnf1c4obonXGIoTp1ld18Y0XkQLtzkk
eQwuhvJq54vf2/W0ccl29Fs/a0ARKRSes8sq4W4Sv8+CJU9sPKd5HISXRlmKWy5MG45ongaes6RQ
YyF+5S5djmT08KTjDY/fXt7TLTOcOPxQIeE6qFtYPNBtvy0E1N3yPWWzM56NoR3PQdaQ7h3x4b50
qVW/zMq0jy7UFhoO+75+YaPUn02tGb9AcFqgvGYaoKor581X5niheZkayqIPa3K97XgxGkM8ktf2
N7RjUmlJs0J5LKdgJJvXMinhyYsHXIdIhJ1UvNMaZCv7Q0A866BMwicrzSiR6/BevuUd19Gfe66b
kuKxC/jQqMgLnoZmdt5cWiMvUFSDbWMPjr2bqqQFLzTS6whlKxwvv92rcRrR5BjbydDdJNmoP/J0
UQrpFqhfrIn80l4PPR2XhpoyQrr0JRTHrDEaZu+wm/1v/KL4Oe6H4IlQEHgLfMQUGBYTx8VVX7ry
rdJ+/RJHNV9+DO2ngGEIDX0FYFKKNRZsPVm6tYzG6lrh1skBV1UjyK+JTr3eXTjHfLvh1DFvoMDj
W2ll3y3N7EEs7GNHEIN4Z72810EGOebVipTBcv3l2JL96nyQu5nnbSjeiPW6Kdkifvt32jAs1wUK
COvGHB8M3ut97LX9ZoiCYNc1SxSfMIC/cdtsqA9ap2F4LXRv1use+uwma0Y/uOCgE7jcW2SobtXm
+IRv24YTlsMWOrPGBw7oJvbLEPNpv6MydoJSZCy2+DwR0BFF6/UjWSWD0lMNOdrYMxVLh00TGVN4
qdlV58w1HbatZYyMebLmYHpBjRs++slgAz7gQU/Ow2RYw7Pm8sd7XZb9Xlsx7LXZJNVv+D0HRCx1
WEB7h+usHyF4xEvtCQHpEttcYOfrhiHBcbAbIrc+cq7D2X/dk5UOmWdct0Q6Ht2iq9ZxDeoEysdE
zSjFsiD3xGc4Qs2mjid31TLOvsN0216GuKG2u+WU/NpKimO5v/Rgr6MgGa97z+gPmFcixmhga/KV
SUbNJ0z6QV+kuHUhTF2VSeze1mYZLK1NcjoBJyn4wEdDVzj3I4zm9dx+BEncDETUuijZcHMHVxw/
RrKSstdkaTwvfLJLTXhSgLRt4wjKrGreSuGl2LfRzg8NQKOFs2hz00HJ4paaMkd/xIL/smJdHi88
5riXrRAF/+AaIU/phfNPUXeN+NwGT5yowUl6EPEXx24/XmaqsDDSsbeopahfJk0bFpa94W2k0vQp
dVwWzMrKHlPDTJ9TNfPFCibHPoamTvaJZ9sADeBmg1ALyw2P0erRdYrtnKTYNXgb0U7YeHeuaETG
+TvrWrwWyjAY4Mey848c6mf4BaLW+OSUWOobkAG/zFHvuFtVUomE2+U0GHV0VjqNyaoEj7C24Va1
6g2C3rL6J+JJFwHOg47rxLGCdd6p8UEEVW29dgZa6JoDPsf8YPAeCGxlAM364ejYnUEfwtCINd9L
BqFhpfxdUFoldjtrpCVHWk9F7NebatRgVHqY/hs5WQySDLAz4GztsLwlaSi/5MLm3695YqlPDi0j
1Ij7A6ORhqb1ajf7VQIQLMo6uc50ZpyKPOm4dAUz0pn0wOfJ86sD0p1/R2keIUne0t4T8IbXkxXq
FwZa7EXqdiGXUF2MMannY20I2G6p1oDsFss8UrfK1xOZgNRn6D0FTwpGULEBL03OP0+Dk0OfHgKi
O3PTNB13io7ILkejsdxKHZz2DXZHcWtbAWtp41qs6WnAn9PT2rgHaRic9MBHs87zgHWw6FJ+J8+n
XyapF2JznBG2AcgRBSc3p7hoE+H5eAOqrQ5T3LMO9k6k9R6nl48DhwRa6le8csrDhEEF4M1zbfPy
LiW0+d5jvnSoqFbc2+Es3+YpZcH/tgR6cUeVq2dEy60/mHl8XmBflDbWA8zvrjPROx0aV1Vr6I8S
PYBApq24I6y5cd6oURlp4Ya3tAHnB6liasguUCbheOwYJs41+99+LVEyc9g3ccpOIjQMHl+eYrVv
cqUO/dSN57Zn71uQmUDcySnVtRhAEizupkKON8LljLw2VVC9DFZTx3eWA6oYrCr07zXwEF6ypGvD
u8imzjVPC7eVFcJDHDWIQCSXe88jHy7dqy7ThGWSxpkeQqNyXtxYsLBOykhPQ61g92UkqzSPDBE9
Dh4yE+tm7p7kbPuUB3Noxs9sECfvYuNrq5pgH3cD435+Z3Y53+qgrRGWAzSahZDSBK14tFXD4ynC
EpftlCdpY47GZLmiTcUnjqrOY71jYs4DU7FUPYTLJ5oSM3qbu4I7Ltd8jIaArbhiFGEqc+Po2ki2
uU+D55MwcCIttEy2lg+unRjdQ/+bUyj5zTf0/9k7k6a6lXRd/5UbZ64KSal2cAd3dSx6g4Fte6LA
xlaf6lJN6tffJ8H7HIPr4Kp5ReyODUZaqdSXX/M2VRnFoIjKNl4NqCbtNGbnZW6BNioisuX0ZJnB
IQF3XG4r4DL7/BmmlFR1DmgYTcDZoJjqZ0BTaDBx5TPKqVbTNjfIJ/7udotBQ1XF2l7y+LtbhibZ
aWlQU4sV52eWoqc3GUyVZ9BVqcFZaYO4qsbZ53OAxJIGk2UDzvL0kGyB+9ygoZjvBLanB8dOsQ40
qK7e4Lsag/RKDeZLPsO/SEPomeI7SveDjEQZhBhzewhXBjWGNAUDftVhgMcbOKMyLn/QDPlhVfo6
NqAz9jWJwQgQLVatjWAcfaUJlFow6Pq4GOAauXHyEQUSfSgMrA0E5LxfPA/3QCBvUPnlDU+bc9kA
4jj5QBg/g+TMsCoCN4eh2eWI5CVdzUxf2wZY1+Kd+Lk3YLtmYgK0FSDwKNS6k8qA8oIJhVznlsxP
7l0D24MfBUKKgVVuvBbjAqS5BBifREfEzL/DSgV25qEdWx58X8wZuEobyTQyAoSvLE5ghszjZCJI
hrv7hvOKaKiK5nzsXOs0ELprL4cSBRQ4TEQbFP/ZkeuU8OxpNGX0xxnvYFpF2v2HUtxUHa9KY4zD
KDiw3UD2xX6Bxf4yGl8nt4g58dpj6z8n/RBS3U1vEt/3y7Xfqh8GAbhy2Y5P2e9RuL2ufuIkU2PR
qPZYyYBgjHC0c9fRc65o8TsNoBRTujyHw/ev+1vpz3UhOUNKpjJFePtN1UVJXkH2WlqkXKrgUVl1
f6yHBVv7OcyIX00t9W0QZMRieE1kue9fnb7N29UF9kBVzAvOTbw1m9QoQVazEzTHmVkT+oVR795F
JuoyAiTaK6QwjTpsT1liMm8X+8B283wL/6HJ/4kJBIf9l4e1e1SP/+f7c6vv6rH+/n//6/9Vj18f
68df+3Xg1Pgjf4NaPNymadV5AQ0qaDyIsf/drouif4ARdwGLR8RJ/smm+9muE4DhQCmBk7NphATP
UJO/QS32P1wX+BrpAMo+NgoQ/0677u17a5IK+nXGKxvSvXjbQiscRpaD8Cxc97Bq2yDYuB7H2Bvu
flmTf9Kpe9sVNJcJaS3SQ6LJiPnU69d2dQb0hdfJOg4rtW3ZoLIhRju6rhl61y879V+2hONasAAA
xLl43CAnwLP4tUHCs0CEeRLJUTtNfG0HeM4F9LjO0Iwnk6Ii+aOHqPP7xwMXZBpXtOUcEdq0eH+9
JJotfueEfXKEKplQH3aNumjIHJtNY9Wow0cxBbUdBcI92HiFApipqkKfBM2Mwnnnp+OWeoPOAAx1
CEgMHY5xsxDedNwjOrrk/UUXD/EJUkXxyXPRUnOSb2WySIbuxkizxGGvsnp1T+NFnsVT3x4sTOuv
4DjmV2h8+HJn/IZOdGfXp7QR9L5TQ32DE8r6Hbr2+pCRCzyEbXqJ0kC+n8MKffe2so8rE41L+ilB
BOVUjDfuMNY/VrE219Qmxb1ro+HGiV8d/A6uuYOz3dageo92A3ykW/FTjCa0VvtOz3snWxiOKzGc
h45qrvo2AvpUleLRrlLrWAVzx4TImo+drkLaCUucoIlvuc23IarrC8D5yw0KKBmaCt2MzEwfeQd7
cFFaKS2cIHdLBsqmg1E6p/PwmVaMr4cL3HCKQyjx39jOCft8i3MNwxlb1PLr2Ift52JMo78KwES3
cWrHKMXZQ/xUREPLCCYG/cMxjWDtxkJM4NBPSJQjWSeyr2VG0rbNpVdd2xX2krR60uYiHOcRHWk5
P0R6xZk6yfudi1OvETtIB/gGhX+dC+c2W3Ib7myhb7MuDva0IPvPNdIwh2axFdkOAHscnIP6qa/r
7CST2TfdYwqQisg/T2nTkLmvflbvBxYnw43ksqtqnEiEa90Ima8X9ppE9J1QVj0N5GTj0p0XECMs
7Bg8xmYoz9recZrlsBc6Ly/sIh2Bwgbqa+lgt7NfUxAz4Gzy+IwlGHZZEnzrVLWdnbm/kpUpZsLq
yRZYsgWlB3cZnaCyTO/jAQmYLmmrEwuRqM1q1YgvLMh4Na5nb9HXZLLaqvMCyImAwo+ZTmBHxaMf
4ZawWiHtXSx5siZAxhIVydtkrtwLOPwf/GWe0WePQo+tzdsDPmm6FFAUaM1N35ea/NPvLXVZwrH+
ajwzgW21/td2KctrUFQuxpBK3XYI12+lim67Ls73o79+ssZeXNFXdPeuXgcME1fmg3Ewf5QyHlH5
jyfkVb0b2hV/0VZo3GNeRvPkcd5OmP8i+gsELQEt0uwCtD5QttZRi5/UihjjrkzrEhiLC9cZjYcu
WC+iudLLaRXbiA5tqWdse0P9lK4PJdyNiTalOw4zkk7YviKxAVnjzuuLiPQY+cwlmua7UCsENB24
xztfGyY9DEcYD34H+jVWkZQnFFBBSKbupdGBZrWLuEOEMNMOQp2O0JMeMAWnP6WCAwz1Nb2dsDWN
DqLNJ8QSsEHHq6zu5fwhDaw0wjI96IbsPE7wnM7pYs7+Z7fNDMzMlgnT0rlfYvehGPFoPnRL7IdP
OGnxoDLcB6yzkvR47D/CbZR1d+LEQ/nZ8tvyYzzV+Ulv0xTiYiGWjTaYqhCbDKBpwkXeeoYJeeYv
TFhRJpzg9/hWhjeyEuJsdvGDdJbFP7q1BRhxwWMDcZU1du7cDK1EwFrmf4dJAFNFj/O3wEWZdCNB
ghy8kn5MAykj24yeNHIRuBO3gy3P8oVaVaF9TwexwyyELhvWRp3nMa0Op9A5OMbnE6yw3Pst3oZy
sFE7tTQyCxbucV+Wnv/qlCU/rgNGlhtfWiPyZdNc3yzCa797gRdRUyR5eihdjw65BpmxG4O0gmul
5+Y0sqv4uvLz4BFoNPcnqsk5JENY36CahepXGdXcmwVkBGcUS9U/3KivHoRNxV6VRbDumAw3H9Ma
hixCpc2IX0VTUilmiGH9Jwv81+a2zKJ+SXl+SwOvvk+PT6+yQFc8/5G/KREOWklUDpjUgkZ2fk0D
yb3+O+/zoIbbIYKJ6HUw5gkNbfzvvM+khKRRkCAYQTIC/vdcfQz58teaAmUk+LcYCEGHBB0dvh20
ZcpbJtm34jJkpz3o2QNbKByrR94UlTA2d0czoG3OAifuHACLHUYDHGKYaEcVSJyho21mj+4nP1tL
VI4rICfdgsLL1m07dKShDegHCt3pkyrrfkewB3HXanfZxlNEtGsV6t3YFdLfRiDPuR3F0HyWUzJd
r32M0mRkSV79cu3hHuH5MR/y2iuPYV/UW+YFE/TBVquTIOYWUWkskBJM0wbFDkuL5YOnoeQdsiWa
02PsOSv662Vhf4WQPehNpcvyCcB2d52n/oQQ/lwv1+By6XHTHuCz46mFcWyx5GV42ujeQ2LHwRX6
ZECdyUbI2m/dM9Tw9Ycu8zt9mloSOkJd6wUEDDfY0C7l6Ns0HaCxGzdqm5uYNuDtCsf6uqtm0D80
23ZzViPykAzNdFLMfXg0LL5uW3jNmh7zhVe7j8YS5QkPFfKW0869x+BIhSsKo4kNYuuYOD690jpx
UxGeRL4sUwTrEBO2gQ0RxW1m79FyJZAolc4WKRDr1EPUE2/XNu0y5GCJSlKW+zx6trYcWgyHBCcC
aMseTS0aTKDXp+Wq7CYvTvY0Zvt40zYIB9I9Q4hqA2BdBOmW6Fwk6OVoCxO8Btzn1h+UgPqBVAw0
SGb0E/1TzqiwOdrD7CTnbg/Kbtd5w2Q2Trge16Xw14O14MiC+gDS8dOZUuPY2leOrguFwHM/DFg6
1cAU3XlwPqUIW7nr5yWvtOyf1Nyput6gjLdWyc1/At6/EvAc2yMq/e9sDsreoXwV717+xN/hzo3/
AZWDUBeFwvQtKPheQCqQwf6BsImD45kPTxY/2P8OfqHzD4FMKAwOwA44bJuQ9DP4+XwLkzS+C7fa
o1b9t1jawtRj/9OtMrcDhAk50AB5DY98/U0XKQonXdNa875n9oqGF8lzwnBhnl2rUzulClc/FFUK
TmrQcLm2w6B9/9uSVK28cLDw6txDa3l0ccsusigOmGyZpmdUldly39uozJGBem2wBps8QaDUwrtj
6rxpKyokm/DjLkYwBsTnNkS73EaR8562Fm2kimoEQU9Px7kLuHm0/ehEDChgUw5QO8T9FvcFK0oO
cioGDFvQnU5Qo/3lQf6TWt15TXMxuItYGPFm/oYnhfzI62q2GfCKV8Pqf28ZFjOErdMwq4gK8N7L
yzj1Yy65OLmsf9CvzPWdh08wt+aSGvJ5pDOny/37t2ROxFcPDCWV2PFDDwQTgljx2wZYWLi4yw19
+uQw60Mcz8vT8mz1mOvmKNUFOYEDiGDmFBvGGhHnRrG02I8WdtuUj8yodEdhOGKMe0b1MtjZfk1S
ToW1WngUe4WjECVwHyTWsmcK1AVX61piNrSvaYX43Qbh1BFHm/c/1OvWi4d4mNmDMS0eH+c/3oXX
y4y+25IDMpbf7RljqY++zK3mFn58s354/0Kvu4fmQqCxTNPSd54JVGZxf+nNovXdxWuwJE8EbNcR
+7ZKgE1vXJs3fBFh4V3PQ+OLDNcOv4IK0QKvnG4pLWTx4/07ed0neb4TlBhN95ZRK6QssyS/3AmE
IW3HSxE8TXhQBVc+9j4KqeHaEqE4owDFvOHfXWQfbA+hhCYbeRUebK+vaDmpFTaQoL5VI37uaLvq
FnQ3lmNrwnzu/U9n3otfogrrTODy0Jdgw0f0nt48UDfHdavNffdpcRBt8r679DEydOfbkX0HNscs
caWDcfwTZuq3nUSFjNYlf5EXEnTfdNcgQQGYKsrh22LHuEfhGVBF0y2KDqA8//AZ37S6zCMEJwie
P/BddhQynq8XtGgap5wnt34aGPTW4RGMj7yvGIR2xuoZeef2eonXxK4vmhyDaXuP9lW5PhRD2LYC
6AsBEQtkfGXimwLKGvliNkm3uiintI/0cZw9j976v/lg4FD4cPawFnRsB1WK1/fsxCV2dmCYvoEr
JuPd9FZcFj8mUhb/U9PUAZK9CQaCKvnTYv3+YGKeCs0xG8SWixzI6wsnlmMvGHRbX1cf4Q3QAfCX
xmELqg26ytYRUIUqdNm9MnzUWUXrftf1fR9j42yhSXmX1+sMnjyLllV9TTH6iIFUBy5KYwBy0PL7
wypFb19PbhAwnHlNYAdHtLFf366fMjitx775mkU5siwbFJLV+mFAaJ9NtWoaF9NJPLRDcGWJJOdt
GpjbcRjIAF0iWhO49upvbMC6+BEMppjh+GNKCiTL8Zrix0sAxsuY6OIvYxp8GgDnJApiTliyUyeo
hzwd2SOLonZSOKidgHxOTIi2UNXmgi6U4OgmyVq1fF61SSE2+DsYXUOXOStB3l7zoCsOrsdceN4w
38tNz9cr6u/BjACEsxH4RawfeP1j/5PMcQV86NGd5h6dtogllsFydD6h74wSxh4Nw2p9QPwqnO6m
vgumW+jUFT+byYIIsskyJNiZRmbLzKVrRJNLvS1Ea/Gi04Br+DANLp2YWOhMIlwBPbNw+UnYkgk/
kgfhUAcn/rRk6kYhas9hprulIAQPPRWDxoM55tIWSv38OA1XczUrRYXhSsRl3n2GMYHoU+JNHeKu
gCT0yYxUnjzHVFCPZ+My4t4NjyExkS9HikmfRwxvOSztRJkzs4sSl7etjegGo2eNCRM+AT8/gF+g
XT0znrTjoNjZSOizoL4t2X7DkpogVtUhemD7bkgC/pVTkNXFdmgxAvj7d3RtByxQ5BBhsy1bDnPi
jchWnzUYsSXn0kubERy1aPhM6cuqelD5WDnj2M4PzLPCm0BW/WhVWyeLzRUFzO7ih26B22abVocd
H49Ab7ZLA/ug+CHKRrJpCvQg61uJJncYHgohzHZp/cLlnZpkHLNrUhfRVb0VC4o3P3DvQIH0oFJV
RuLM8gBVfetq3JfbbbPAYKi2PoHRST5GlR2wJms4RtWM6KScmPilqzS5W+Esgu9phMjNhyhiwGyX
HcBVmSJzY3Q50FmbiAJ70D0MP/YNEsXcSQ9ci69ou3ViOouHyeO3NChb8iqMBYhuStsUfBl5mNso
bgnzQ3MhmInmXrw4Y5C0DZA20d901OEcuxNrgNzNxEiG20OqNTJ5W4KgTX41eBH7Px89vtjG0GS4
rcLDnhzw2FSzgiM8AJYT2qfZcxUpoHeEM++xPqkN11BtTWo93bWR5J+dE1W8wGGhiA2kjitZhjfn
vOe616sJHhni5o9FJ3rzSntMN5pdb3sOT8IfyBsljgWOmO5CWqqsAnYH7aCPDJGHor6c0DfgF3a9
mfNu6UGMZldjbNErAJXx6vhHfKX8pYc0eRdnfh5PO4SNQhOZsior1kNg0yHGFLAVB1XqFK4Pexuo
SQr+b/3ga72w/aOBMR1GTniqaUmiMDdYfvn+VMKuoEfZ2dsgKUR+3TgZSqoIrYzmCct8Qnn04PIu
U2FD0K1yvVn6TjXDdqmGwZrPSxos3GNiDTybzouwB0Zd0JF8GJkUOm0+xvQdPXnVDE28RDTFUWSp
9gRiws1ewf/WHcL4YxPjTEDevkybxAV2dExEgXwSIgslYRZZ6tm3POgqjqf5zDE9kZWGYZ8tWYZF
U5MhcwtQnUESmwdjSLMT1Qxk4FDqxOxLG54SeygReVem53gArHyvc8FnAq73BaESLiyrtEMq2QGY
u9iWM3ZXwxxAAToUGJjxlKQDbjlDWw8KTgCK1jZRcGTx2bl2jrHfdLBVO/OTlDAd31M9vYPzqLQn
M99RuLxB5vTGlPDUegtE13PstogOE6vIu+C4amBDTV0vcEzk6cMtPUe9lp0eVQMIrvNssZD83XpO
tXD/hEuOowlQDad8nWAcMewjrzKHLD2Gju244NUOvyqMek180FFmedfwgnvIg4QokIVtp4AX7yOo
orAKsWvn+sbPQH+DiU818rMOIeqbxZmbTjTxScl4q4v3SIvPwjodi3XtaangwrzrUOROkPDHNO9j
0i18ePSuKqL9pOeQOw4LvBsYBdVZyItdjCvpNISf0azgz21d57P5nvYawcZdEcvnzoPGMuF+sCIO
LcBENmsMQy7u5w2ZaGrzflppzpuLxbYfYnICsg8Xn5ywuxviElgYdjaODr7Qeav6jzY037uY/iGm
JD3Ap+4skO1UHoJmGttvbc0Zc96DdcVuizsV20YiV/yFOVOwHspQNtUTYglrf1sbu5jHeXWq+XqN
cSBA+a9SdMGFj1LwJiogVSLs6AlvGA/z7EfTVd/hNYMxbY2Q84WoOFb36JdMzrbjGfUE+SXq1oJT
eOo93JgxSDMp/drPGhgIADmXRlVvafUZXc7R+xhUSnspyqteadydK1dDygXxmDlGAzJJFXbJnGTV
NgRlsa67OAeQ2R8SF8LbOSOGZNyAGr6cbdtpD1McwpXySdDWu7Rg6sDBF6jwbGDeEMFEVa6z1Zjy
QsANUjXEO6txjSM51Ip+m/pVegxRCEbvxJ7X8ySWtn3izE7mHpJ2cSSgp7BacQJKhG99aBmUe/fj
0NFUPLFbWJTdPm7sZbmjPyjUpQXIzLr1LG9YH5RkV0OHC4L+fg2nFAfeSgVh355gn5OuCx5ZYRvs
4mWtjBq1QrIZte4I9+O4bISbbcN+Hbroq1MXkXzK3LYxCsqB0h0DYl+MmISFbRPCNR18pGRUIjs/
2o2l7VfBSVJbZXCFqIdVlidT0JLWZt+zCBtyZPebqBxdVA98XEyDfSCUsNKr3uXDFB9+Zt8ICieB
czvj0Q22csYylWOprUXd+veYe7Stt2uTuU8m8ikbBXUYz6FPNgZ7khemhxPJ/pdWz4DrpBfLZI6V
mEDCy91FJn3sOcB5HVAmNRGuRlCEUJKDynaSQ4GyTAoIVQztHJ2vgLVJSf2smzh6GLIWnDJKolK3
nmh03VRyGGH8EgKCoTSVQ1g4himgsR9mCD92dR588uUguRWnRX8uPkktRa+hHTufMOkPA5l9VDLN
cU881ycLBqtpsmhcvVpiWRHl5tCAKJ3g2yLqwbcR8JDBKmhlQ8nojxIgBzGlRv2DD0peEtFv8v26
NwGxrlzO6BnQB6kJhr6KBWplaE7OqJsX7rRPs5Brj+EaNuvHyfM7vtck8cIvs4sm4V0a/AYl1RPU
fkycLL2QFjG68U7MHcmkHaAHxn1s8tU4gU7w4KqxD77OcyebQ+AWobxIm2LiWKRlbXIp2YYmZcli
ZdZINTJQzo/RGnQZ72ZITEbn2JH0DejqJ6hjY07e+yw/MVybFOm53RMMtTmlfp5gMCtYR9TpTMci
iGdz945ILBayTb0ibk50Dsz3RzVaLCxhBiGgdjsOFpa5x79XYu14hQDIipWMNJQZv7FhOoqDZ+lI
jeo9CZHZirlNHnDr10vif6p6h97Ty2PkwHScB8q/Ud1FXbLwiUUhHZ7RODA4ZFielhM2wetc2AjR
TmXoF+Uxa4O0nk890tHpbg1dk8U6a2uaT30PvC87BSxvkgpbAc0wCvjaFPJR0LFZavp1zrLNZ7sP
1Q43MrKU1E1MNj81bd/7R1zHhin6gGCu2+QXQRLa3I9ePfMeCNHbfNSpJMm8AyBtXhF0FEzDSxYd
P5BMqA8+Fk5FaZx34BKQwk3GHBxH54YVeTaoaHO6ZtOUcmjiREaiuhWiJQtEFtjkmwpdftxdqqIg
s7ZZgeJHshoxTNQ3tPlpspJ+/TBXUchx6aBkzhmWZTj20VANAM2QzIvW3O3L61Eqxv13AEwbHmo/
EPjqC7Eg5fRlYr4DVsZ3wjLkrUaOg22aY2LNe+b1ntm7lXRjeVnPTjqpXVpB0R/P+AVIHO8qhOp4
tiDda64l156PYLcTYJgCZjbHK1qFlHxpGOf949SPuagR4hxbzFqpLT1x4c2OKiXuwy77rLZdUwQW
rU/FZjuLeSAQ+0kvKTx5zkr7qz4Xs0v9BN5LL9PJ4oqufJwyBzjzNnnJfECeT+QaQxMBkT7Jl7gk
MfhZEUerjEkMFlwfqL7wIhZ8lVKz9HttWdbyDaP4bv3AwMW2tyJrM8qRKevTwTpGQSvGO2wkAfZv
rRmd+Q8M1U3RDZPUZGH94pgiP4x7k8inbcP+SIYk5akpuMek60tkrTGkC+hv5Cix3wBcIAkhBqxO
R8172oWtREaH+oHtFPhcntZesppQ2RKTg2Mb+gsIBhkubP0jaDlAFLqMyKNeXj05VSa1wqYlxtva
4M/RZFTTNJiNIWfTP7ISga7ABghWNMtr21sW2bEgq6m4/dhSLOTshOYVp1pO28sAfArJq56L9CTB
1Hy8CZZwHU4jyFbVMQI9NPQcbJZHfiAWhUPiIajKhl8Te6onVhWdNJmoC9WaODO/VI1LmSJqfdoV
CCvVlyT8I+wZOldutcfIylSBL4VFlazmppt1mSHo85ZpBvQqWql4vSlCo2NHkQSEaYuMkOSR5s5o
bn2UyO7UKHfg/qL2qCh5JUL4NEf4QfRc1w84H5iApXiMiCuBPstzuQEOO6xMBjIhy0fRLKZC1y+R
I14Gk+hCWjW78v2u0T/pGYFRhD/MQAdm4tsGawQVBhPDav66JMrUmUDFq8xnbKm7Kt4MY8/n/cMl
33bVaFNFlKeeaefBg37bZ9WtlJGtQCv5wWymNy9bo4owu/3Tp/v9Ugacabi+DIwMdPF1R8yF6Aat
WDRfcy8x8akJPDGRFBKsiV3vr+RzN/DX/rFD6zh0hO+GDE5/n0oNtoM8B3i4r4uoMSU6H7MarvfW
V17Ga5jBwOUsXAPchh5H6flg3TDj6CKcn5VL3U0Xwkw2YkpeE3teIvPP2YfsU1MiYG8ycCYArpr5
6v3b/22pBG1hElsHmIMDpsF8/5fe/tIntUrn0H+EdLRwHxxQpizkcKWEev9Sv+05QWM4ZhTEJAgs
89t+N2lU7uLY2j7GWSRGfUx0VMwPzhqaVyRIUswe/vDh3o5QAHUiOe26Ptf03d/wq303iCilf//Y
epmJUWrhZfswIhLBAeHG5sxKYvJ9kgnN199REbH7a6Jd7Z++/9nfLjNTUx/su5mq8roBgn+9zLNU
C+zMVHyhJ0HpiOcxXSqUOEw5//6V3q6y6yMUySDWhu7OBOlt87okMcROoHC+jLIJy0tkWExpnhdU
ascpc03W+P4FX2P7GZr4jMEiILRGi4Ck6c0OUgWWW9GMsRXKMaaf3MNwIswRFDXPNem7CrVrpNd0
Fm/DEkNJvX//Bp6507++gaRakLhs4Ych+goomL5eXKrErHLaUH7pMluncs8say33dD2yuDh5SVsm
BP858wIPr1u9+9kUt3xlWl51gB1fdorDmFmcGtQt/6L1r3mLG5RIqRbWKpIcCUM5N9Gwi4QCa7bJ
nVIRrcPZN4clJKoGjkuWQEoBC0Z0IhdR4UjzyAFyNz+7BshiH5HMu+o0Z7SMBWFTWia3GsANEiys
3g2pYsD7meMc4Bi5TTgIc8Qj2dVyW+FLg34gtSdqliUkMHo4qISa49WFDtluk6I2iAwbrXzWH9Z5
T2fSnRa4leeZLGnLvr/8v204KO0Ao1B3jJG8+G1rj1QWGdaJ+nOTdZAfj2mrTAkUr8pkAD9b1u9f
0rwtrx44oRabDWY0EViA30BQDMrgbA3R/DlOwe+L/ZjHQXmJ8adbWlf2YHMHaKLDKWoPi5OYpNBC
eIH/+f5tvP3kQkAMIHIa4Drv3PP4+5fYKYNOzjzL7HPZ0P48w/5L1fcuYJf+wh3U1fsXextBQOHD
1KFTFAjjifcsKfvLxQJIWHnWDsOXqWuL9cEvQrMtiqI1mdX7lzK6wb+uL789AoIfAe5h8iaE/Wai
lM6LXVVycu+h7kKpNF4h+H+ktFGpdPNi5nSATY1gvqA5pRX7cvER8KBY83v00Gjr0oKh5DHz+3YW
FXkoUtomUc9TKpQsJAigbltkpq21WKYNEKmg4SWcosC0iYGf8tOTBdNRbqzS5yxC49pMipypNvGa
ggAnq1PkiXJdHWRjp97l+4vwZr1ZAxwJhM176oXoJL9dAx8NeNQzx+UeDqA5mSHqmVfOmhsq5/cv
ZTSSX683AQxCJoCLgGMROtbrAIZ3MD1Vx0vuIq95vtbo0zotp86k+iOhnhD0MnuvAOmwCnKRpkv6
86t+Gk2HwJptFtf3QtPPpBZsiXRuPSR0FKyyGK31AhXRLGCC1WJ8hKwWIldiX0qEjz7lK0FtOvwc
/DEtMkMkqypc3p01sle+h++geeCrX3AV63k6Hr60JiaHDihmr35mniS8/5Q/HE4E/mankJwwldHL
CI03kr0LtdIUz0lCl0NstIODb/OH8zZ6/fjASBpNWtsFsATlzkab5PWSdnyCKbLb5Fs1ifBT0ePb
enAZjx6DMmo9evyZOqTeEp9rfEuSXesl8li7ZfWAHjxIeRmNkqFpKjYxGGx03zLV3SfUr8OHahkw
hMqiCWB5XNzUjNq+Ta2HoFvQQzDcMssJrid0OM8zOx8uOZEysJB1NpU7ayjEXytz5OkMbGThb1pw
5d6OrmH5YK0WZj6qAou9HeL+g8epVB68ygLqqXvUXluN7mrMHWbM8M8qTG8Y/hgONYfIzAhPOdUX
UBP+uV6wjoWz39nOTrR9eOdyPj+2cKGRmeyDjBZGCnEZ63YJxVaMD7kQGTgo28Lnz6Jv97kcYzQo
rLb/GHjDQFqUjMdiGYsDYwLdgsZnuLwFfp1bm9Grp7NKNns1xxMNm6wo/hoRGKJrnuDip+a+uVux
Pt+RflpoX8FX2tqBfeMpbX91tRq+OOHq3WejjwDGEtTnZTjkey/X+fn7L9nrYM2GYKxMMEPiiJk+
icKbDdHQ/gnh7MgnnheSIugJlPugahTqq70d3L9/sdcv9MvFQoBy5pgnh3ubkUDxJrXrY/kU2GEN
Rmix7wCzu8OmrsvLyRPGMjttavyBBEDx96/9285//phgdRjZEMTfwiZGf4gbaEH1UyclhSvaguVy
qAUaxn84Jp5/0/8cw8+fEkwzwIMYaLSI3xaRi4u6xgRW5smZG94ZgZEmdkoUPDmsniq8lW6d3OKg
aMHcqfwYxbypzauTKfeD3VIpYF+A9YLrHuu7M2l14T3nLfKm9BXVQ12TvLhK1ugkKse7wdpA/qix
3LiQtGdvJtdYJxTUqfgzOciBQJ+/FnXMPrbCOqB7UzKLc+aYxlof66eiSVGu7cb+4KS+/WgvSmxX
nt8fcqE3IDyWxKQBpEGsi+CMfpsS4FwyLLgyrk+YurH4WS6yE9EU1XFZF2Qv4uqzsOJlN7opQ48O
hjE2nBqa1/tbwDeb+dWTCQ1Y0+BBHIBqQfjmQHHKBOdOGsZP6cjggHZaj8NSBHFxNzAlUbvJq5dj
WCucbnOrRfWZjv6xoW91ObXBpDYwuaxrrCC8o1g1jTNcUL4gPiexFiuty1xLVBiFPpGiFnf0QKvr
xuKhYePdLXq7qoWxS9HAIw/bOLwlbZxwNvfyHxplPqDNbY5+MC3PPG3a69pXwKqbZBi/6iob723f
LW8sCVsLE3NnPghXgSgXfY4eQBVn+Ox0Nh8gWxyUXFXKCCAsuoJBCGfiR8+3oos8095fDl3tBB2/
EkOK9xfXrN3btfXoLoQcUuBkXfP+/ZKIjbSEee5h8tTBcb+yOlE8tLnQUFNwxb5yZkORef+Kzmvg
K7sqpMwCdQseyaidvBURw3+h6muOzu+YMnpntM3AqSejts5pVBYHBhGKSO+n/VMr7OohTxeEcPPY
vrGmWBzev5c3TknmXkg1CZ9u5CKh6rwFA/Zz7Q/IsMrvyDmEFXV7k3xp+hU98q7W/qazMTBA4dxI
YaBileldkQX+MQMOu6NPEsdbBp51tuubIPyUK+Qyaf3SQpfWkF2WAT5wnRDLVTAio4puY4pZZIjU
zmbQjpvR4bRr9LqcqIHZv/rticWyHIpSWZcQPZFSpJVhXaDPrdGURQYMe/a8PaQzp/e2ceDM1Yx5
yShFDZeh6ioJpGQumOEy9HzAK1PvyUWGj8pd5CmmRwbCHgKXYScyLtoGdP0+iDiXjFxB1C1MNJkr
qaCq0u0A9uFybvFe3TR5G4CrjdwGgeEonPsTG/mMv1Tf5J8gGaofHk7KtHqmAtLS+0/n9/jDTokB
zQFdgx3yW19PuExCsZstv0N9t8MNBNbiKygPzdSQR0ZNFT6tA7K8gbS+6qmYkR4NpvZPXN5/tmEj
A0Hm6ItiWNRv2h0gpYZ6WMPqOwqjetw9P5BgHbPqIq8ChfP8FN91vRwPOsDRr4U58jmL+qlln6zO
3R/W5J+8sMazxBh8oHDwG2J3rccZWfWy+J6GdvCxC5zhFsNwy+gN5+eci+PVWHXqrEU17rRahHOp
ZMhB9iytkodZBCBZztMFyh7iB8j5DlmpLi8//uEuf0sZeK+Az/OKg5k26oivw8pUJ7qOO2/8Tte7
S+/JLPxhSydRb8bBnq5c9M6YKQ1rEO2i3m9+ZKsdlpsVyfv5ROBZ/eCjlopj8vz/2TuP5bixbGu/
SsedowLeRNz7D2DSMZNk0kiUJghSEuE9cGCe/v+QKnWL7G4pal4TRatLJNIcHJy991rfyh5VyKZM
SHgKbNoUojkGoJSQxoZx7/f19jde4GGuoQQ8fyUxx086ipQv/RtWgKNzvvyFz6JNuKHeGi0uP/LD
aCE7f2BhMDSqFA4LF7f7nzRQBcsZRzd0wdj7bYconn86LTQLLxk/hd6EZgv/hdfww2aG00JdYdsW
PW/6cPZfoQtwSH3zjDNkurS8rjWpT+b10Nd+uxiLxuq6KTPHI+Hk6HEoz0dmwMg+gGfJV1UtbLXg
OGUxId9mKlRL+WPPSVShmqyL7kEt9H5p3bU1rwY5a7AmH49wgaa27xP0KHiWPaIxGZx49Tjp5UbX
RkBC+HfnXSqNI+MR6jW1EPt2oHEjOqhSQ4mfqsxnKFxCJJRkjl2XmNnS6cADRcj7lBiaExj7EAB9
U3OgNJ9AlYntWAkr8uQJ+r+R1sd0nX8XVDNEjRmZ+hCbgLW9BIwQIpNihMjBRuQEI82GEffoAg3A
zCHbLZkwnuVaZc+m/hGnhJjJNlDj9XRCAQ5JyIEik2/LSeRbtAy57RtOlezNImqsa4cRICrLWcZp
LUkVv3P1wfUXS5y0zj/j1SdXr4659GKesy5GulJPMdVBLhQQl8LyE8Iv9BYX+x2VS+/HXceDLKpX
gx4ytYUOJa691Gjw761OPtLbGLG2UVNPe0Y+E22M1uCN6hcPIMPe5jgaSg6rzlxzxzIRmFGNb7BT
WsD+lVL7PG/GQKZcB42cjcYezqb1gQyS6ci5zOm2NJbJEoq7VoaxxlL3JVr78rkxs0DFW0tMXZ8T
m1EZEy3SC1u7S1Niw0UhLGbjelv58qBTCZui2DUVOdU4bwZ7o47jGIxAcrwiUgVSXLUH7tdGdW14
68DlFQii/LwYCu5cg7txs7r2AxmQ9HOhOI66cdoCqDjsl3uF2NgrNDH5E7Je0w1l+hVejSxzR65c
JPtqa93gAwToSOJi0KJibLyajjKLRpkUEXDGbDaziKaAabdzMxlNjV2+RVrT6NEB8OVkESJbZCiW
NFhWRjzgsk+lar9m3u/7wip8uqfhZ+6Gls4CeowXdOtg8ueuJ2M+6hv1IQSgth/bgpTCnJLKdQh6
uLd18UVGHeiLmVZxiIqqgFk4J3vOGhqE0wiRqxcRQ3wsTFoCWWzYn1ZaxRa1MInuBs9SQiwFpr4O
47Xmd2HzYCCiu27o6LzkfUH4YxPNHwYaQrtwwfHtSZIMxbqWFoR+tQQOvprK68ZIU5gPVUpKFCLY
EKtgtkoAwurRjJoeZZgDP9NJoo89RIOJXl6Y32V6rXoo++qtgMjUVzbr0Ap1fOF6Jp8R6gzejBzK
2VQlOQDsLIh6rmrIh8gO+/qmLUJn05ly/q1UsnkPSIOk77hJXQEKjoi5/kuK3tLXZoIKDQj0uzTn
bFnp6jNT249G3hokqESUWo5QrTbzG87H0eribOJ6MG/HTgojLpsZYKXav5+K39k5v3kqWkiXf/VU
JKKsap+/Vj8/Sb//zD8fixipdY6M5MCa+FXWvKgfj8X1iWmYZCdxmsSEaHE++gHJJpuOwogxFOcm
JhE/PxbXOG4FBCoOiYuZyPkrz8VLQ+NfpZ+xEqvh4ZBpxwQJt8X7Y+0aUYKgfpGuWOFr9jAbjT0P
TzwvLvHE38OKMx6rcbrlCAmz46g5eTEGEY40w+pdg1yjOjrgzLUz7VRKmK4IfZMAY64hcFDMCDYb
vqecZZgEkuSIu0PAjAf6n9KEI2yZa1EjC/CybPwDkSPxkZ64Qc4LnD2LBCabrA4J+XhZHCglQVuB
rV/VzTAShPxJLVsmTJWJo2a+J89gHZ/YOmXT2Y6nIXZukqRn33V06rfCZqzhGUNJyZQPqBZml5gr
IjQjzJT236iqP4lTv7trwEX9+q6hMvvSJ1+GN0dQrJX82J83Dh7c9USIEYiia71vODT+eeNY2h+M
aIGgcWYEP/2zc3fFFqDHYIhGeXSJZf7neXLNboRahuHP+H4O/Wu4qncjWi7CLBoUGmN/Ba+S/L4v
ZqgzvkIEoruqhCWoxkkexOiiUEn0T7OZvUCI5LFTLX1QDpPjgcfo3GmaswNRgbUn9/aDLezsgAQ5
O01kIggbnp8lmdcqinKX5GWA0ylPw3nQef4M5cKRspBB+DJgiFF0b2ogoJ7DcMmjnXCuuRV8DnDo
MHU7C5TGAgCscE0JIZeX0qv1ZJlIGtx5TyJ3Hga05m5TV+gUjPTFlGoZcwX/PFMW4XG+bPe1aJ8U
+G0MjoXmpoyPgyK0PjCTuUs15UW0XB511VNeJa/0IgHpVFbiIV44E57WoVTi/Zj11Ady2zyZeMZQ
2IMxGi+c4ohe6ERSkE8az75t7X1UIjEKOz4agck/6gvmMmn2yvhzck2TjxIhWufLmPXdXPAR6GB+
eAt8DLK9L5Ku88OWfyVkXgOzCymIQ5rTA9LDXapDoaryKPdNsjo8kelnwj36YP3JFOShmzjgdhfg
oG408xHUuUbKSq8s56jKzw7JckG++sFypCskaDV4LUZNDQZ8IEwjzMynGn3MOpidIUYc36nK17ls
Kto+reoZ4UwKFZkrgIbz6EuYk6/Wt84D47k+IAAMnTzOLA7LOCX03rYRFpN70qZO9xDaYQZvyww5
2uXLpl7kZTfaLA6t46KjYe1tRXq4LJKkmcHT603n1xbrQJm1cyFsJLay8zDaivDIrBNeIRtnkfCi
ojTT9wCj2e+RN/pAk6eD5fQqJ6R1FfX8W+qy66RTOGZUnRpYgjalGZoTHxMLixIGa6BhXLOeX5EG
ai5KFdvNx+QFTyrf/cLfUqCLeECk0h97G68hqlDixtcgMwWWvkom5kluOsdD+fZ0+b4LEq3w3rGs
+pH3i2PBWXWAfPUNz4sB3MdBVqJXbnJWNU8DRjOsTjIBULat9wIHt/kxj/krws8XTeGFcOfZrqgx
Gg18XJz8H+aFb35suE8sawwPI023U2xxdzhW92Rh2sa6xDdsDywmkPDXlw8DLjRQbIl/WmfFSwEt
LQhlqzlgmzQCYsaQd2ZdeJhLR7krurT2aGGk7ghqztNQHm/wahB7jkbYL1qdj1QWvIYo7q7sTpq2
kaniLmjCBHbPogaZxU05j9oxGVOonEPFKoPZw3SqzE62yo2qyWwEtojzAA9RHsjcJ7C/krOISTdb
by8Nl8dOVgYVqChV20Cd5FbgKl16jZ2vI7g8AO4stxPZMaumm9swowF5+W7pP67yxvJoQnNnC2EJ
lHXjeFBAmWKvq3yxsmWDxNfZdpGeBTNS6g3lVO7jp6i9ywJYVzi3+DnRl3KrzWxjjuD+1hdn2V2+
5n4YV8cNy2jKyDQSqRI+Y1mWdkbMW0VNyExuUCRI4Rq7l5G8QP7lK1Cy1wjJMIUpd4+M394jxdkh
4VUJD3I7lEcrkadrYzK29pi+4DLhKGKN5THM1CzILe4IXCzSLjK4TytKreNsxc7GMllkZaGVR6lz
uDreIvbeAm8Um4NCskIy6VvkbB1um4lfpozC0zvN9KyezEmkzp3bqF27H03G1FYJ03RKChn0nKEF
EvgGz4oUNreRr+6iww8H9RzTiUewWs7bumczQbZMkjwneS8UvAQsotxF+Bx2nFj4A+jn971JdSYi
EdebViSm8KRIeuB3x7dGy5JoDf2szivPL5SIl+qr9bFDzhZezprKI+H7qwDHMG4oj5OpT4QakXwO
cz3AaMaV18/adIzMB3ob3w4K36teUvaCvO98CZmSi9UafXouhbeqslAEVoCg7bB5bSz+b3jTOB2p
F6OE/USX8mSjtO0XprAGzXCKz6qxPhSVXgWZFJODMFxb67BSg6F3mJNpTXMgF0yBYUZuN6ITuFvl
BNYWrdLyOTPyQrgEkuhkbNpKJ7kYmdIXFRaqr+CYhYEnqw9GlOU+Mpo6Pc3Y8w6o0/kKNTmEFhxG
ij4EqUzFFcN1v40jHYkeHtg8sjbIuelmzFm/JoY7bRcselwrnkns0KEOh2epr6qv0By/6IlcDW6k
Tdmr3WgSZA3kyGQvcWOMu75sq41TZNif8HY3mlensJWLVBcSpFy8J2g7wxPmhQVQMXmf3XWm0o2l
0tS7YoctpZeecAUKguojkR/D2NGQLpP1YHrNnDXJtSFwXQcRDC/prhw4PmDN+k1zee3K/lQRrOea
VZCjAftEAcS8922jLHckddGrdthZyTxvGYO8Yia22YLsB4yAOEkpAkgG/K3q9G1P+3Kegj+GWVNF
cWf9m0LHmXUVk0g97JTxstlxD2pJ9rUcafHC0Hj96cB5+/39/KMcituKUMPu//7n7ez8z6vRnzZV
OAk0B9/NzpcxknS6ZMMun1kg60nAIRIwiCQgdZcr/d1Q/k0RQEuXWve/N5T9b/nz+Nx++7l0/v4z
PyoAOGNUpGiddcZy34/5PyoAg+LA4iz/nWC2lsc/eLXOHyxdqgPgF5QI2lo2/GgoQ7lFEIylyoRN
sUJm/0rljCT63Y2yqvUU1GuysmZBo/B4e6NkKWciZXGa3WzO8RO9y7L2zVqjeTpBwfMmqy36Td3M
t3mFgc8j35gTuOVgtZUZ8ImEMED4pcpTmAwFMpKS5AsmnOO3qTel9elOSGxItFse9bclknKXxvFn
XWq5FelubcqIVuWsyVEA/JCKmw8x2YWcye5TaPvHaeqX6zw1evpQA+dGC3O8vgop2wPD0IwjAQ93
ycqxMcVt40Jma68m7H14HckRliYj3Y68OJUxtVnvrSUJ95jG+7vSifQDutPPqdVIT0le8PxpSjLv
mqncDiSpB/VaoNR2V98sE5tEMXVnQi6/GlLGm8Sh6eIxPHOvZxvHyYjmNTTJTTn9b/HTvdYtiTGu
7PTYu5BoBUZNH1Rteuy/C1ePhXo28ci7idWfyLHG0KtyyFDsB+iXJwUXoxszM6eToBwnHgJuTkyl
q9rj+gcgkLk46nb9hEAcs6rST7Aho88csPdmUwk317RzNmefG4Ozn1VV9xAQlk+AcWS/Rk7kI7Ma
iOjjUIfNwWMJPkxaGIQWHdgsNNeXAFHB4Fc7zaRtcbXJN1omkUVKbOJ91Dn5h4pi7gO+fM5E68kf
ypu2QQ460X9HKRXLxWu31LeyqS+wFKRDj3fhucKc/gDtUSC9CIks0Oo8GDkG3uYjVm57sWk0Eps5
Y7B50jP7weySaltNBIoo3Rxhu8qsYGFAt3Ma0w5o4j/mSy01LgOKx0gPad0ANLI4oqwYXiccvkgy
c0zPamTt3IOMvS6ShojjEbgExUncLEEel/eapEwBUsY2hoGv3XV5T2/TJl0E4RUeIu4cNwX0QIyp
RJxiMTXOtsWcQzJhrSgcEOYKVZ1hY0IRZnWtKtNwhRyyx3jbSsajhR3lSi9M+bPOG/c74MHEF6cq
2Yt8ltVGsduQiE/sllf4xo1+X6Uy/FFIEfMrELxF2tqk6Yavs2ONp1xtUV5EmFc4ASYMwHng4+lM
le/zzr83+t9s9ApZZeyN/32nP1ZD0iXP74eHl5/6c6+HQA6THDoXrVKdjX0dEf651zvwKhF4MjxE
Gf1nI+jHZq/9sYo24H7YSANQk6D6/XOzV/mFq2YAySQik5UV9Fc2e6hubw5FCj1DKN64wdDcYXd4
r5CBpj0OVaK0e6MMLaSoqaTcydwLJ1uwF1cNenXybCz5pZOskPAbp93PRRkeiCcj6r5VhWfllnKs
ZLPcZjrFpCqUvMCGn0kPNvNF34prEsUrmWIGI+J0A5Rh+Ja2FIZTHOUfdPbAoC6oXyI4NKdK1uPJ
L1VL+NxVradEcjtu+0JadsAezfuBltNvxNrvjmd8ArrOYcm4wMzpFa///SeNUDozQ6xEXe+nlvw9
ZmbYiWd6T2rfr++L1/3TEvn9Ae1yPao4SKWcQmFmrcfUn66nrsQitE71/lLQTlH+ggSXnTfkM/j1
ld5Kw7Gu8I1iJLBshdBJuu7v3tkymMrCdCnfjyH9E/A9pADPBlsIaKF7oeb6dgYseffri747f14u
yqSc/iaLyQZB9PbtpbLajUXZ5fvBjGF8AoCGGSxjbPOHyWhn969fbaUM0i6lPqLl//Zq0Zp0VBZp
vlcYvmWnsi2WzWS2yngz0Ar89bWUt0q9y+cJPmqdK2DF+3elDJ5EejCZnOybeMp5XsVhl/tNU1So
PBRYRXM83QztoBzHLhO7Jbf6Okg6ejq/fh3//gnTlcWUp3OmWtVm777WHDz1jLoy3TdDhjpr6ubO
NyNm6Y5J8vlvLvbvawiZi8IA30bKAIX+3VmQ1B56hq2ZkiW9LOdLq7KXuINJRM7i/UycUUpjwMns
31z3P71JqhimRKZJxoC87ls/3SVZlI5JZNbpvhwbUdM8o92nDSO0pISW5l/6QHXH4Pcze5LZVBHk
vs971BPsuiJ2kn2iNMBDphmxTi2381VEs+rx19d6t99errVmy+qUozIA4ndfHiFdptRKrKFlXkYF
LaVVHPJEE4r/6+u8U4V8vw5gPsdkk1mdo28/v4HAyRZ0VkJSGoc+fxpT3pQ+lytOXTPu4yQh/mdq
e7DjS1unYSAXUfwbW8a7tbO+BnQpbHTrrAM117u1Q7ghBC2j5zWILvJrRTSqi5E4OmExLg5VZBt+
Z2rzb/bzy0f4c53PZRF88sap9XmGXuwGPy0dEZmiWkIr2ceUGR/b1CwOJM7M1/DGYtgVNUlZvcSs
nNCfKbK8cAQFT4ernL4SQ9+0X2rhFIcsLMNdBArrEJLUfgiXVDr/+hv6T68T9Q5HA8aU+n8oswwt
HBdLknaMg8wX4CZ662HEcPiKSGowd4TA15Y7p5JlBVI1Zif65yiRaZmG+wEH9RXB4eF+Smzt2pHM
Dl+1wKdDzrdjie2vX+u/r1ocyKs5F2AChoD3FaHslMCWaILvC0eGtp8Rb54Bae/64NfXeXfXs2Lw
JPKV4Ti2+fP9szGRcEzi+0U1QSfp7CQL5ogywycBSMH4fqr9ryEm77fzy8UwF9CZIkieSvfd8sQq
YnT6lLKdkxbtR3YofDmvBy/nVgFNU3OWRp9wpQyT9UkqSrK/KqP/zQeroGvkTny7XEHu4gBljr7O
/d4Ht+R4BVXujHBnDfTV91auspn2zqTV+2iol7OEk/nl0jxOqKdbd4bFHVGoZdi3TAYfJNOK8OAM
w3zbC4eI3K5J69bDloiwUM1o7RNLFR5iCBN30AnCV8FQjvSMfDktOWZH12la895qpuygkpV4JUhz
BHJfjOqdMWTmvckgfdfDEiDpQ0cgKteJ9EDveTnPVHmDm5exuClauX/OQ3wicLnDUyfVCJycqQxf
C5tMggMBBcXilqIOd0un6N0mJUsP66VFSiqhGSsstWxU/RmFjvKF7pf2OEK8aFxgaoXkdVOov+ai
10nOQ4eCRYnMtFOkcWdj0o58pRXJyxCzeYMYN17BZthktxQcG9eeBAzwMXHIRiOaV9+OOrMZH0JC
99W2mCMA5bA+QStp7btKSVlv3P2Eg2WVw+VxckpnW+3YO2X4tJ8WPTQAnTvRyVp/FogLL4NCXw+a
ZOwwUhED8eBU2nziOZN/aECc3Vw+3tAc+0AtY/lca02cHSoEt3BLlYggBhWtwgn9SzEEzRKndUAf
k91qwHvc9gs7lK1M0ueyyliRoIkUmRREhQyhpOazmxHUdEzD5PhBnxL944C4S/LUSC5vAZpbqKp1
fs8YJ/HJ7OvI7xoreWF4hpo4bNs52jqLky8uqkf6K5GmPdogn1RXUvlsC01NXvKoUOl2V/ozUjVC
wLhp8tYl1XY5o06beq/PiKmWRTPdJBB6YlRoSvIZ5TBbE0SqD8os63mgreuwGKvwYBPXGnlzbPeJ
v0wKBxilqBZwy4Az6LT3yykCMkVTm9JrdlHvLefCkMBtLAXnnCHuagCQvAH8Oem4hF7HAgvkLq6f
4zGSd4CrWL1GpkN3D+Op2g0xFYNpVNKDicef7zHS51OEXe6Q2cAkFolYGxhXuCJQjvWppeyicakC
ukqGN0tVe476ONnLdltekXqjewmAVd9UO/kEoG05DI1s7gh8Dx+i3gKjM2TPjck4C7F05uHWQ662
WNssWWiKkCa0Jc1H+2Tb3Ha1Xmzlau7xTJLJwvxl8VRqPk8xy3bjTAQk6y24WyT3uvrBSQQsfaIe
UaRtSCDVNuMQVwc03RhXJNJqsmJ0cK7xtsgwbD0gF7k/i35w1U4nC9HQP7W4k09RkdxAu2d0KLRp
1arpHg8cbWM0ySNT0CKYu1q9yo3ck4fMAHtQjtvMKWQvW5TYRccM36omjjRx4juU+y9OrT5jLwQE
KRUaSEa9ZEQq1L0k20+N2TGMFLR1vHmyeaoNJKIWGqYIdLGuUJNr9Jyjn+nmgxDhVVVa0VNfqwsM
qXk6xBARvRoAjF+RD3RtYnw79fCzzgqxowdJMMxZFvOIUYxIGFcvyGlzkHs2atR9a+SsXrOp0oHG
nAgbd460lMBuvVIIhIms42DkvKAqp0frCjK2H41F1zYTCY7kMwvVueoVpbnhoKTH/khEi59Zcv6I
DCd6HFR5vJ/RSJZu1a2Q/los8ymzUOEhoLcIQentr6Ag2/2EFHUfN07BRTlFn9pIvrONcbyzxnkO
tGUYgvX5s+YQ1bgUk7opbjviBzyLOy3fAx3jKKBmVei1M2eRbO2mZaXZeRjVErYiEotpc/FEsGCY
7sh/XTYD688vOOZtnEXWt4jp9dpra7W46eT+A9yzxlfGRFzrzWKnXpSTPen3AFyAZqVqcSXVXbYp
08y4XUGFGxNH/Mc+jcYrbZj8PgnHA35iKHf0HZ3PWjp1CBdLlQxRwT7JrKeND1rDud1VR7vbLVB/
amJcy54SIZfO+dxaAdrNp7KyjY1c9OITMTH2a69PGSi3UlERIxvWx2lkmLqVDcJmCZhBe1ANnMcw
0e7qZXGuJ6kxz/CYYYpWDN5xYlo7Kmhn50yK2ru1MrTfaob2AZPq+dD0eDILXT456HVzD7jGETdx
yRGmtLaDlTvnPGwgy4daqFH8p7FOm6JVIMKSlqP0uXPgS3XuJ2NYfB7CGKdKKABfpkXuzlYv0TVo
SigDAOt95JwBONSSiNQwMra4W/KNafeCpmaiP2ZzV92Cq4PQHCrpnuB19cQnSGwngV6NCJWtMAwW
NiwlrBpkVxWOSgB4buyMxtKOThR1blsvBpGnjeIX5Odsc9D6m3zp7Oeh5y2x0TSe6MZE8+y+IuIz
C4HbX9jP6DoYu0bQhj6U8qRdD7Jd3RBhxbEfZgLI1k4CxjtnUqWDn0AUTXvZ+kRkNU2cqomuJsmw
Kz8M9Xw/A/v61lOOH3smAudel+iearUjOk/KSp7pujO2XlkJ45qKvd5mhWVRACjVIVfmnrsLafiY
FvltTUf5xu6maac1HbyJxLF3xbQwbIaiirwitK+qZgpP6VDaWz0SxUtWNpYZZLXTfNQjo9lAZWXK
axSoXGsmynsJ3XlQp3n7werqz4RHQvtqKj33HGNRc6+DlIQqXEcfyxlTomG7JkcBae49ktUMnwSx
4UoJ58STqzTgG0+CrFC/oJit/WSoEZMbjgbGKormk+UM1YullOJAsgZDDYdnYBNrAOyMOfTRKfW3
iiy6l7TN2LObnKcGmwAp7KCYdavJjEck0lhXvpg6taIr6+UUv8YSFNI+gezHjd2XlEm99NqgID9N
Rq1eJ6MxPEpRKF70NrE/RYOD4R4dvpT7k7zYq5wZxYJVkJlWlDvJ1AkGJjM0ApohPs69klzLWdEw
7hY5PewG0QSsIsXjFBVdgzGyfAisdDXUJtwbpDhpvKp+wvOYyie61rmfZyPPjEqdCdfKh8E0OV2C
PCU7q5l2Sjj2BwXZw+D3ulqxnc1LdG9rqTp7k6EOe8OZeIwodIdYl6Q4e1G3SA8JpuoNeES+Nx4K
Ww0cxKFekuELMMKFCgPtRSkVfAqtnXwOYUQxwuGIg7ClVhG6qO20M2Ut/DAbqvYsqbX0qprDeAzB
lT4Y5ZJ6SsWvnTCPPypwZF11MNrPIeEGHCdlxyPc4JGDcRj0oSmTIt3cmdqHCM6wOy9sr6S6sqiK
D7JRyq5sS3eWQJYPfG/xsN1t9EUy3bbsZw+ZdOEiyaTdiccWwjUR9jY1tltqeuU5U/KS5UTMexJ1
MtIthkCzGe3USVI3gzl+6xfN2VLL617Tqs4mg6MBVsE8qF2Bgj4RilsYw8aOHLJg0Hn6VshyltNJ
uZqNYjssyvNS84vjarC36tyQ1FDM+VbvkwkLFeBJeKrRKS3FK2I4zW2Iq3FNIdRDQmMX9ko8HZJ2
BpMOetpVJzFzP7fDFryY/JL1eDep8XnqcBA66EOlB0hJmk0x9t1R7qf0mCnTNjMjTvMcuDyKahMr
+XQzmsAGY30ydwa0UU9GtkVpUvsQyGIeEFV4OymdjIs+rTd2333rW6kKaqlatoqJgq9onM8taMJN
O9fmVV/TO1ginCNjdx406Tkx9Q0OBPB3g3NdFt2hkJpPY7HcDFl46CvzsW7DE1suDaM86a/MdnnF
qvUBFfCdRSIkoRXocNL82ZGTcbtkNCmt3nlhxtp5CznKviMpxmNFIk8gV+rL5CgcrKSITT5W9zmh
vz4Kyk061FdTbJEqGZlfCoE2Qi3oaruGREUQjcPwkTnol0ngLEkHddNYeTJ6szNHH+W6ixYEEHZ2
QMMn3Hme3aRKtK2yBKDGnyYxdbuhj49G8yjbYnhobFC3cZfcW1oU76zRyby2EcOTpLZ2MI2i3wlq
mOMwtNKundL1Np/lg6El1hNAznKbgIyzfcjk7T5pTNqjY7qWE5YTT9tqVDhCJ22mu4tCjF4vDKnd
xMV0h0nP+YpneZYOUp3T0HEzp7PlrSrUUbvq7aLrUhDwgpQ0FZovKYRNlj6TmWKONC6UsN9HTCTR
IY1Z3bp0NfW0h4CZE/jWEfjuZpyHdmANLOm6H3oL26lUpY0rrUI4sxspOTM0Q+2ghp/sKAtf4aBz
A3JVRgxGiAabowiFlA/3nLIoYtkPEBbCnD7TOtOYqyH8RPqkFIRSQ41RqcA/k2W6hitHCdyE80nS
DarkxJICOKymfA0wIxFB78yUHYPFtjTCgfBKZa1OlGQS39JFHW9Sc1aOsoJaTIlatCrZGH4C1EuT
O2Lkf6d0Rh+YRkslEi1Cfqmq0TROfSzWkpcRMKgxo+4+NqXg6JBLprwFzd3uOdvzq0myRuNZUaD7
xhwtG7BZ1Fej2X8280L1k5bjn4uGB2XU4iF+xM5RRylO7qrdq8jYvKTTwoMWGzQFOop8e7DoEayT
msv1LhLSuTJbqOqMa6kTxFa29OLp8k8cu1DvZJOyv7JSZ4tSf9mRT1o/d0VPDTa1Kl0CWxtvxoVj
j0SxyaxnKc17RCbzKWljw5Ux8G4ujWLsaIxR8DIBsUVRSkh6zYA7IWpQcniJRTxmB3Ppy62JT/kj
yiXeQJLyG9lHlnNH4+XWSHLlqRhkvvUSH/o+hEK6b4E03GYT513kdASoZsNymup57r1J5n0RGxQ+
1AZlXyPiuvKMOW22HNVW0MaQWy2SwHDM3GShK0Lzks1gQA4Qyq3jV7owmn1GtkbB+pcX6ehUUf1M
8y/ZyllKR9Ferpy27VRmrQ6zW54dPdP/aKnAno+jfsSdKl8bymhcEXnAhGwxaF6FS3a4rDspQe0s
UkS82kImY97myznuO/S5YpLW1xfXIXPe1fwlUWad82H9TPKBKZvCX/muJvK8BB8bTUpPV1CaohAs
t9XaiuuQUsMfCYFA5yMqwAqFgamzAnpd5nc7Yv2FeWreg0+TgNih5qtzNJi9hWp1ArXxVMirOavU
2/1F61dXPZ+WYq5xn+DbZmgYshTMS+sYfjNK8lOsGOTBZX3mbJOOdR9LHK8Viz6rf2k8KZIavi6K
TlMpZTVpC5dMJ6l6ppVYaj6Pc/GIf1s5OkijDgKT0nMYQ/yYw5hbR4q5hTFFMJsc+/AQ1kr1DHGk
36NCkGDRdGLNSW3zULmjOOAdlqpJ+yuMoowTMAjwrVMm6pG6pf3YO+vHW8h5diA8dzmJrlLvxgyR
3uWGVbss/loASXom74FLT0MHKaWfw31Py7VwB1vqnhcIkxE0+3Pf8HNOm2TkrNkvg9Eha1MSSo++
/lLKNpJQhnnbTrRIN3u+HRCw3OwTdyAgAIeORQmht0UpGxHEetJogZ9qfIOf2tGYDW8xF+Uqj1Tl
ptTM8GDkGq+8p/Ix/JLtcCvjrkGv2fIVG+sqGGtac0Zt0FIgokgQZdlTE47OwCqxFvlltas8M4qU
Ko9ZLPd01RqhX1GdIvlgf3R0PqnIRG+5UBDg1at5w4SdsgbbVRJiGXV4SCL4IJwDyK6WVik4IibK
PtuMBe516mSPAmN6gnw4fZ6EzRSq40BOlhYPmQA9rsqTsU4JFu1EeR2P/fCQyKP9tRZ6+JpUk3MQ
RpzPEAF4MunJiIXPsGZ05SUrQDhN+Ck1DaN0u1ZrQ9+qaHD7eU08yvf2899Ch98IHcgbovn933UO
P2zV/6he/4ExbChekjd+6e8//0Pdho8L4QKJ7Kt/EXsLTf4f6jbrDxI3babD4Ngu/q9/ydts3F9r
VJcDN21VSjAY+5e8DbkD1ECsYQYdMP7T//vfN23+7t3ff9ZHrjq5t/12ZtIY15hp0tQ0ab2/nYzN
SpmBupjkHQEeGFZfSca+mbjTU9v2yxGyVCIfCJkNUAw9KRkSLq373WzuvRIV3QaXRvQBGU9XVwf4
m+FmZcBcsu21W9nO8nWoP81OfSSrMSgLYoO5WeS+4QhaRyVovPBU83zfAjcpg1H9pGOiWGKU68zR
eEBxarQ3PZ2v2lKuCZ0EpmeINWnHlwRHcrn+ok8F/wibQQlvJ/ucYnpY/+es66Rlz4/dAgS5IMqa
nd1wdjq5l5SfmXlsZFHO7iL3qIKlttPoUWb4QLXyw2yzNbAmdpNpk8lDkLiqXUXDaNE7WKBFgdey
c8wntnRCuUR3gEDyoMuO+v9n70yWIzeyLPpFkGF2YIuYg0EGGZyS3MA4ZGIeHJMD+Po+YEldqaxq
qWtfG5nMJAYZgMPh7717z9X6OyRW/WYsaRFpfnfn+i+GpW3aSLzNBHls0C4FvmutGPUDm/Y5S8Sb
vsrXw1hwCswuo4ZjnHPuJmuLDZ2EV4R5+i7J+9uoFVd4gd5nkt67NFtxxs130Ji9QHXkO1tl+VGM
tr7LSFwKJl19lHa0jty+PZWtcnAl1avabfll8zbJrHNUMGP5emT+u7n8zeZimIAQ/mp32X2vmujP
G8rvP/OHhkr/bRGjAvfTTRylKKn+d0fxnN9ctBgm4Q4YWiEJ85/+0FCx7/yxg+hkW8IAgi+H4oYS
+T/ZQNh7ft1BFskuH6a7SIdMx12mmD8NmH2zKr2w8vK95UUvikRKxhRZtUF2/g2SwX0zaPtS7+U3
rzC+4Xk2tr2Ytsjwj90kvM2sSfNgqWI6tLnPTIyz4oGXdb5jL8DDr8lyxRyv+TGFg8swF1EWHFP9
pEV5/YpwV79o8LR2EOj6tUWYxqr2kmQLlX/c9JG4IL/1btWcoOnsiiuYl4pPA/5vgU7ftJpprgGr
N5xLmBAOxRnsK37+zu6CNB8PTSuY6jD5WFdCiZUxqf7BTCg1o2kMD8yQaLRrxp2aLWfXdtGzaxe4
zBVPmijy+LrTE+MqtfibdMLHb/HoNRtHc+UtjAwwcflTP0JIsaALUGo5eD+GN5K0sbZZg1o3dj2+
J6hwrzLFgMHyZxJESHXfOa3SN43diJ0qp3al7HzcIGj9JF/D2tqUhuskc+3FofZmku9CQ3g4pn5W
bJF3qnU6l+DTO6KhGMMTyCLKSyHbbfeF2dHO4ZQSA6TRwKotXwWjqIwLM438GzVw/YxyYlv46g5F
bXHJEMiAxPGaPkg9kTHd6fPrprYitTG9Qae6ktm3fq6Su8yKMaG1ADMtC9B4UEdDc4+lIrxHs+9c
2dk0i0ArHPirnSsxQ9TJTVPl6hu0qvYTeYP/NBYW3Puq6hVWFOGdYqaSm1ZhbpM98WxCUcCUuQUB
IzcHZ99ZXv0ikhSARCoobZkTYOjLqbTAURk3dgmAhto+rzKypermJKTJ4T+xDC4eI2P6ND2kytas
SyTQIQHrc0Vqu9RmhL8S9LEMErp/Gvy2gi4ijpGrCZH81lQifRXmoMGIC4H5OmYSPqVmXtH4C8Gr
F0l1b2SVcWNRQ1zZKvVP0TimrzVwbwoSQ5DXnjBZ2hYpWCksRxz9nQFLW0d7nqaKPW5aBJi7WcGq
tTqFz5nqfEIa6NlvyHjzJ8Lp9femF9ZBs6x+aSp2XNUljK1ZuhJcQJJhx2khfpAt8zBUTnkcOz5S
mP0yywaDfGtGLE2nx8645yjPl5dTNF0ERlUqBgauFyITqivyO91sZREsv6m9nA80OhgHEFPIrJ+G
YlqPXVG/xDx/uwREqcASyzk5HBGABSKm2KtpQN5M2Dw/E5zhO6O36u/OSN847EGrff1laZjW3nYg
RQ9GP1Szu2iOtVXiNA4BEGHs3dkja9Be8unzIraPpVP2D21qqxWFBP3YZPninVVMl6l3ukcxFvyP
+UK2cAY2EWDIHJkZnS552Hb6+rXSUNLz2+bIJ/DbmGiQJMAisZn71VnVC6MvjtJ+5cwSraavzGdV
agkEycIWd40T2QfaLePFGKEINw0KcTPqyTFjJsaux3TniLWQu2ZiEdvmqug+OxEnN6VeuWdks9OV
DA3zEuqpd1FySSVjRQJK8p3w1TdR7yuniKnrwpEPGjx+o5gAbeZRrN0TnTXsZjet7mWEBrtCp735
uluFKqp7ENatt2pR8RCj1g3equJ4hyfOdk6GXCaieC7BoNG1pOheogMEObUYr/hH4kHmaOxpZcoq
WbXpfNOW8c2A3YE558MggcwMTvVaJl4QQcxa+d612fVnXUW3MclvZALFeyJtfjjKv2K4AlpNwxph
isvYWltriHedOz9FTeuuHX30Tq7LB9ahw5FGo0iaoKWZZXXpeI8xvLWqfkemonux6/SxBRV+4w7s
4XSIo7ULWWRliHKZSU83AAHXaiRnKqyOVinCW6PTUNuOZrr1qmjCtEm1tnOrDPcnrYDNhOGTLBjZ
7IcBxX7nZTKmoWN8ltGIDMn8TreoupJxUl8xF2HsYRYg0kznozG6fek5d4hA81U29NbZRO7/QnP0
G8FYH6C1i4DmULGFF9cFxVQOG2bDsOVa8IaBuTSiatet7nt6LyvMIPNnMTgrc45hF85xu6278b6k
s3r0RbaziEgkeGfmBieusR1lHwapmrJT5hqP7qSb+Ghp2IxTwYjetPaKTXite33NGTODaO33xzpi
SgbG50XqvR2MZaWfpkwXx4aFv0snV1871N66UcgVDtEA2cUPa6ovdeKJ74mJ98RWUn8VrgYYOcse
OqOlwzlpRB2lQxsklvToQaMpQzjcHaFF2IS/zDP7gTXk+yidLeBFqJ5WMyY5P7yXRfsZTx2TN8Ik
b8a4UfXGioakA9Vq6lNASkq/YYRenirDvcnZ8+9YVrSh3dC4hfBoUwSAi18VRN7uiZKv13arDViP
zfp7C49xgyUXiXaV0cSv33osOmvpEZKVGsM3nQkYwy3e9r4pnR0OxA8YVi8Mrnb6JMNHZdT0/q1s
CBxLZRBaHO26sZ3HcCqJ5uMxxPpQRt8ImWmZzVjrDnXzCcd5tOGQ4H2iLx8uwkkMhp1yOUPgZVq1
tjsd6d9wyB7M0CNMbEgfU9GjRmzt4nuLy4TWf5MfgQAJOmktvYlBG7a809U2a/nZqLBoOtFWE2Fa
3ZGwPGI5lJysLM0JVN14N/VQq9eSiKtXZRrWjdsxdHE4YQUNwKh1zlPETt4lvVgx55OrMCs8f+EE
Rqdh7DLj2JqhMQbw7GAU+HKZtEhmVZ0XPXXuqJ1do/Egc5ij5CZWjGabSNsMYJpPwmlsVkyJ25Lw
4doM7FnxGhz76oa5k0CdVOCjkU4BAECGT75MOrpOc5JuUDIANGRsS+cbIeSBk0K2M/RKbpIRCBMW
GAYtcTP+KHFYnw1A2o+qSdS+joV8JlqL7DH2wnU0+/FKCUUv1iatXBcz+VScwoph0I46LUCipk25
r0IAdXXTpas0nMItgn+PPyuXu8nO30VLldQ29A2Z9+rXTYj+JLeqZidNnF29ysIVZ4brsUq3tqbt
IjNyV7k3v6RNU9VrxkogxZVs8B1lRpBAPN4yb4dbwjxhR8Lh9Qjkc9egr2H6hi3IydvhdsYrEGQD
CY6VO3jnScn8Xqat2pOkqb3gfL6B69B+VyLhAOJO3dav3Wjb5yFtQUtGTE6SZA3mhEccom8APvrC
G7Q6o+vqCZ7rJzTnynmy6nE3qhHZkzXfT64lbsbEBFPgeeluKo2dqxBP5UazIQ4g+o7yFwQWr7yB
YJzNQIb8ZiQK7sgAroWB1oYH7PWnJJIXZGAOUzgvPRC4Nl6FqUfw1jol+crYuNZ88TN2V+NK9Bi5
h026EKqWSTgZOXcQ7iWeo75VUcAXtmGC0ZuMeCVEUteZr5ABXKyEyqcRBYlkHMP0lDl1GhWZgzwn
HcgJqs00QJw3pjlt3R5ic+EmmRmgBCTwJ86whdmBa4WVuedt+DwW9h2sqGFL47FfRXav7kMxzxtj
mtubKHUqTHuOfd058zc5W8lmrt1L4pM9lc4d1jS/NNc5PLazFLXz3i7d4NQs53ejNbprVQhtmxjD
9yaazI1yzAHnyEBmmyfsoz1S/QDZam99lZsnJVx5WXqeGyDVqIU08YqDYInH6tM31UXTCtGFDYQi
ZDigJW4QpcwcMtmWKzBy4yqsmRzW9Cd3Y2fTkPf8B1/rxkXtdTVbHLTpbn8KE0+cLYvmxjWg6Vb2
RwzMYE0ar39knOKWm9RYDv3R1HTvuq26T4Iu0pNSZcs5voWiCwroAKbiXh96Xw8kZxltnQ1ddqA/
ind3nu3pZCcIA2mUzs85M5DrNi4+KECJFGIChuhFdQA1pjKs1kkZf8ii4K2vyeJTDO6yZxE6tIU5
PGwbQ29eOL64G9O0xksX+vOKM9DFSlLnDOsAzYeBU+2o275ci2nmSYNK+sSIu7+SNbb+OR88lGVT
l58XdQTdY2C876Vs9SgI0wSYtBHzKtD9BVBCaVhxDsh975PmExvHEDnGJWFA9gzApH6ZrYIGSlzp
6O1Dy9bY8gW6kl5X5QMC4GrjGLN3FVZdtQWYNG48Yz4kExqvGpAuL+g5u0loA70YRHWsXVQrKCbK
mPkdSLKKSV3FEoo4lKSVB2a9TPzuATNrEzF+r2Q5WzjneA/OCAYSNYNgt1r0a41shx9xWxTMCbtk
30hV70et/J6NcwJpNhSUj+0pa/qCOgsRJ5LY4TaKu/pipf68zrBMwluxtcCJKlyCRK+uU98Lj/xh
jxR+tJP9uNpqaeEx19Wi//LF/n+kJGDDi6D6/+4pX4Ep6z+y6WeX9O8/9Efbx/iNmpz+Mf4PJP3/
bCN7/m+AjmzkbxhgPFjx9Ir/aPr4vxlLR1XXdRqsprH0bv5oArm/2Ut72cfoZqA94Kd+aRv/ZRv5
V0k8zgKDTBMkP1iIjX+hh9NZjgn1wGWKUokzqgWV5Y4MvHkLHrPbJVIw1NDfIWSOh1ratgpY9T4v
KSb1jSiGnSUNudO7hB3up8v47/xlvxJBoUTx5RwYusy7CAX5VVE+toyRMkhSB0ETozr7fqafvZlN
gyTL0CHitqdAMtAXbhKiXrvI8pk2ot8qRr8PP72yNBi+Op5sNiR/F+IZVy0KoVgqEkDi1ngp4riD
QQmtiAksO5q3zpEP6meCNMG+rG2307w9x4Z5Tfh12aHwzRXBsExXRdY8xuAZkelqyHcRZuXy4mGj
IqcNeWpBg7r0j7RYDDbSCREWtBXp9TFHYp/AzVvkCf2jX9V5oBoJNYOk2TyigEvlezEVOu9lAO7B
gKQiBRNacZz2gIob2yE04/zYUY1lWxoIeR6klB937JNsEJHaAlp7ooOh7aBTNkcZpcau7632A3Bo
c/YLZ1wTw3dlRNWxrtz2QZRk3hs+xwXR9t1VyLjyOGqgMBIxyyZA3eTeSNuaTmUUb7UkzRDp9kZ1
QdH5olspkJ+krar1nOXxN7LJaxHovaOuNYTrd9Dj/JFJ3dRuUGqOp0jM93of5edm6hMM+H4pAvKg
YWlisbTfm7ZgFlnHILhIXplXJJAk7kX3svqCEd9aFaFX3DrDLDjKWY2RXePPbq3HNGriYDS05DzP
cmNPIeoUIuYeJl1HZUrA3WF0a2eX50W5rQX58CujcftVa+nuZi4RSY9WiFCdtOHAmnXJOQn9nT13
aoWFyr3jqssrz80adP65fowMyz/i9PKOMbL4aB2Wev6tppJ6qATBjlIBIltlvVbfI8iab6zSHE/W
AP86ErG7tcke2RSSb0/t2K3yaYDlmlQdeNB4sLezVCNK/ayO3zKWPdEGzbjqWGnBTKzSRReDuvFN
e7hyVNtvcjvxd7aEMNRpyLxM1JJ8oc66xExNGYjOSEeaJGZJU46EW0XiG5R8aZM4y4estDHXgtDz
+43jK+PNjKDZF+k0fV9q4GuSQ+y1N47N3gZ7Q+c1Td2X1mRivgpFbBzMwU2bdaWsKUavIUDkDBUS
vUCQdeoFpiwEWC1f5uCMLH9aA/ZCJISKWntwxpaWEuQZpt/4VIHJO5VDjavnh0HMDWJ4I49PjG1K
BEmKq2f34byyB7g17RBvcxo7gIC80P4gNFy5tPNU8zCTDn3yYXFy+WZJKJOThluStcOV6SXL0wWN
zQ6i3A6H3eDmVr42O7qhotQTZyeyyj1kXfPox2p+F8M8wgFq7YNPSyZIXPpkOL606oadUL1wLPWa
oPao2IMCeZ2xzpAbAURVpZrQUTfiFfux368diXgpqKBTDDdkE9uH0SAiOiiA+6eBMZD2dpoq0ZkY
WYfhUEVuhYeMTQTCMXKgs1MhbOGcE5lnglfUndtwdKcbQS8wmDClnm0ejJ0ygT6SgTxUGngcox7W
dUPp57IdXBWxn9MSCvPiKexKyenI6qrNSA15HUolT9oSO78WltTPCfmSDyCt0F8aPXxTveK/u6xR
f9MYU3wcZqe5hi4Q3yYmpO+6MMoHiAYG3fS+WBe1yqBAVGy+IFqzjzQCwRskdlKi/bAa97YlLUn7
Rn8ZxMYopX8x4QklG7JmAe1HdeM2W1sv/O/NbMnjVBjqJfLifIVIa7jQ8pJ7ZOVrFIpaA3uyive6
mQ7I7WRsX8U+jW2h6Eo7VkXMd2i48d1iAn2uhiK5iGksjH3btNGtbds1p8Gpy0gnFnH7Wk06yaE2
1ZnDwIJzdOhieUDlLjnoG+Nw3XnFUEHXUg4zRsvL8iCbuviMUwSnhTO0/DrAH8MP9nf/4muxQhbn
tq+uRlzOKvL1+USMrkVkNAbXJjPHjVSOpEUPFRlfVvhtyAaDf7Do2Od5yDP6FQz0qpIo4aVb6uuF
WQLWkuJEfIgfBWIy48W+Y8gjJCNwHwPDVbRrrvt12/aaF18VOnFAjCb4koMhNujXPlJLV2vloZ/P
5Gg9JUZXH/DjiVtiAJHBWcWHKVsE+lClrPOoAasO2fpnJz9Fkxd+jG118AWHUtfR6HkYBSJhvaw3
Nfrjm8mpxM6uNDRxtBzNc8mDbgcq8dSNg79gZZq9uS7iyQz6hn8kgKZeyYmTdw1VwpXtSDTNbR2X
L0jZh4/ByturjAHYuimqcbecS95zLas+WKUOs9RJJGwdzAW8zRSH8QnQNukLvE6bK8uTY0uzJyZd
3iAEwN6QVDHZa/rtpFFMgBBJpZ17/clNu67cSFdm73YnIthofmmNiGcIRqazp00ENgIphueIHBK8
mJfPO+B0A/nFNK9ekjbOnjjCcbviN81Oh7Om29ll0t37jMTnXZoW1E4WQ54v0a913SYI3gIyLcxz
iCDpwBGrep2qsNt2vVasq07nftE3hrahkQf9ajmy4DOT4dNkvr80y4itFwR6XnuyNU4t2xlPUTvN
KwR55hBw7mLMnsOGZYEQRfdm+OKl1QyashPEhBWjivqYeqEmmJx5mh1YTMDiFQ0I+jsaKIKLIh3y
BszydGcToXA/oie2CE8wGIc3ualt+7a9RD4zcQ5FznWMU2yNf9A0T4lJuAAp8W27DLMSeK1OYTOe
WvrRYTqJD5WO8t3zKTwDOK7+UditWg6YjtkwIK/InDXmzg4a1cwHL3UF+fJV75469Gp2QGhPbwaj
hhcA0ls6nKRB9gZtMguNYFParoPhJ22eiRCftLvBsgtsIrz073hqZwA1rAGkD1XuHgeSyUN4WEkp
95nkemIiDuOQV6vN+avKLe9+HIGIwz7TWtbX5F55MNLpo/lWvfMqN0+vGxAAIx48UdykqNqeGtpr
F8NS4lXSPNlVbkQoUJZk2odthNrRA+dd7mTbMO7XogKtcmzMvDIkZkFECrVxayZgIo5enfhnBg31
D7/U7WSV6yiDwVHn+mI80ILW6mnrjj2NTaS/3mRW7n+H+f8vbLRhUYr9VI+s37q33wvCm7eCGIY9
6Ksk+VNR948f+b2oQxH4GxQ03SKKylpKN+Q5v6uDKMp+I20XsIJBoh//C5St38s60/yNoCZydRyk
qNA6vH+WdQbCIbyzFDuYaDHW+/8RD8X5szSHAtHyHJvBl0k88GLS/2W2r7u4IVMnMu/btq5pJc4F
LkRAkojZ5rzwT7UdNXcgcbGJiyWRIM60C4uafCVbI24tTzwesHZE0akT5rfWXGOF9rCmJzzUL62u
8zl0GWCmakOV3KYNADiKL8c6VPGY4d8Cp1lDlD2ZGjpIWm9qTfkw7XhbZpc5tea9H0H/jA0QDOWs
EdwQ28rm7ZrE5xGle04Xu1NvPjEDb8KKp4RWOZdtFUcD08wma9AT57o8OpNWv8PQT99IFJ5utWyC
9Etf/2VqOKyiPMoEs865+z40kcFYKrcPEQXxXRS7dwyWcDYQHW4+LsP87G/UUV8cvn8aor9uwQIt
4K4CZIBdwjL4WV5RkD5Jndq693Nj+QfH6p1NbY6NyzY3gszDoNKhNDIL/xa2vnkqlclXq12vgpSY
6QwFY1KChHB4Ac/9cD2HTnxj9nb1SaiQ9lxKp73ES4yRk6TpNXNSjI3eMqBlUurtohikbt9a1dnz
mseOlIC9U6uTiBTutNjcQcD5THkPvv/0kPybon0B+vykSuNLQ/NYFjC5IAAowPj9+UtzNPaiUK+J
xaqK8MVY7n5EqMM3w7THW00gfe5TJOIUzcBG47Iwg0Lr5m1LkxDI8qi/1xnVHKcRnBcRRKijqiy8
YhP/Ji3T/G7WlXEVaWjXY7AwJyuSiKu98IkZu7nzEybg5L8DycxyfZ8gg9vFYCp22WC566lqus2s
F6xpq9OHK322Pku3PykgPvuuD509h3tCeCi+18k4ZVinwMjqDI+3TvKS1z5Z7HalPijI4Wx2lvrA
m2EdxJQ3+wYiL2UcxWk99NsuUeOFhzK7EYPGw9RmyT6zPnUIWQ2BZY1LuQ6u+QoIOi4nhkn9Okla
SexUitJhhv9rJos4tSzHC7H1LhmNZZJeF7ElT5OXm7igyvq7R7nQ4IhjBAtZC8zdOAuDVPe2xUJY
J1fk+erXWEvGW680hmuHBjSWRws08EbGc7qfGvi9q5mjz0VLuvHcYhY9YZVGyzB7gIyd5dnUMgwE
g2qf6ZjId5/Iu5NtN/5KRwDxN8CLX/asBQZDGKnBoIMymnvpW39eOyb+/zAahEYNq6NO9onD1Mjd
eJpGNMKNgGVEMjJrp6nmD2qfedUi0cO0pKb4M62r8aZ2zRCnpC6fhbRx6MS5vgMa/230F6Zv7xaP
lN8gV4fGoXMyYBvIF4BTReMDqWI0Y4QncYOho3kZ9cVGQgrmwvfWpmt7od6yXU3bgQy+ZUOtMkav
FP8bp9PMTYJQis8cEbaDEZ7vvpYtUmFsDBSR140EZWvUEM+q3NO/eVrREiVotM+lNkswzgnGnaKO
cZEzQEveSz3bQXOAhA8feTFbYFPb2fD2xSbzYu/s6fIP0fCfBKY/C0q/MCb/3K+Wy2/x3gFWQcNx
EZgtj/ZPcjAlYbZGcxNesMAAOOwMYQRTI7X7dPb5BgatsZUrW+0hnRIO3s5Y+/X12JQ4bzxSR5m4
8gwy688l7vhsqN+ywQWU5NPpxgFtNAjD4S5wpZHyHGTSa9u/3nv+3RdAocmf5Zq8l03nl/VTzlnb
GDHisRw3xmZMDZwTdRRtpRvisGlL9hlqX/YL02WLKWN46UCqEZXDlrkylBv+4NmDzWxO1Zs1QgNz
1Ygpxqz7cCtzL3zIhUQ9HlPm/B0m6Ot9/MvFtwWeGjqwcNJQ9P5y8YsmaWZbOZeqXxTiqm3DH6zm
0Ns3bZM/GXMyLzbb8ZyTaQRIzOMbmGXpHjhDDsdqAY8ppCaH3MEZxfFTe+jcwt/5CvccDqu+PM9e
m5yYKo23qqDfiNZPtT9gEjIq9xP7vQ1Vf9Dn2UN5L+fxtrdVVu4EnHkYuc4cjIuOpev78NmMjZRq
U/OOhIbD2YYDuqUXF23rPB5fGrecd40aQkYqcbM02Upv1Znm+J0EWPYrcpoADuLONzYzdlv6NNm7
gSyqpVknAyw69SG3ETKUgkedM8F4+/Xohb4WfTahFhMXtEARemQRxxkfz4WpGAqoIgWNjBog/tTr
dt6mgPZfWHnDdzsvlh1kuTSpCI89zpVrG8Fxgteena9OGj2YSBV90LHsIwEGQP9NFOmHVRXVQUbx
eCBcGzLFovfQbKZ/8ciU2kFncwNclHfJXy9iDonc6T+tBN+CooOYmj17OQ7+cmxgrwYBng3ywrC1
Eyv6FAgzv/bmnAbhbgoxIYp4EZ7FcxxtOYrVb67Zzaj72JOI/WgPMcGmgB3T/CgTlBcBLeUkWw1a
mhRBFJXbTtINDHiS9PdJAQRg++/eTWa43/tE2NqakIZCYLLzqoRsqTK/HsrO2RBKSHk82iX8UZpo
Yb7NjRCLhE/a3d5jILae5locRrt4REZlWPyV7ZSvNDPZ+dLV7hhwT2rdYtb4lA6vFdbXkskIh5/m
WLuzeWr3OAuXI+dyX2uVdM8kgu0Bk6KVG81k3vjW9GzUNRDLyiMHXJ/iImCSjEMmwv8kUiARKxfu
2QcpJMW6GXAYAUPBWuXnk8YkeZa7GTVAdW1CYvFXdZ/FT7wHkid84zTT51pZIDSTIn1uUY4hXssk
/taYcwuJWBa7QQCgI/7UfExC2oBZztCasTrqHmxVrS3cdcO8LwqsGIQ9sjqI322fseVhT1q8JKrh
38Pui34Tm0A/PDyN9jqHMv4Q4akHcmV/mRdT6z0GbjfRcHHr7ErruuX4409APJJK28yM2N+LvGJf
7WRBrgA7u77SSqCqkYMZbWIhoOoiTetKs6cYEYlhWd+Mak481lM/36UlroAAh9N4aThb7mnZ0WFq
23nGd5x5B6+ftQ3+iQx4NnqdCJvOrDb2gE3HA1Mer9yGgSUkUFZhIjllBmPUrDt6SMwn61BfJ9ac
/xBCXZiI5snK4dgaBioTJYqQrLgRoohvzUKoFS8Dnyuz+BS/HqT/ytQf/jom0NQhsv205/xLZXv9
hgf6rfz8ubb9/Yd+r23FwnUWwMXByTF/BOn1v7Wt8Bk+6g7DRyrYf3hifi9tLZ/MF3AUuLtdh0dZ
5w32x8RS/LawBg3Gn7zilqL5P5lY8st/3h/59Zi8OKxQVpGp5v5KuUORnjZFnLFXRAbvpXCwS9S4
0fRY0LZdRZHjrH66PP+mpvl1QsovFACtdMfkL4f18EtJAzsjZsbiTnskv82drpED4CK4+RuCFpX/
r18LQ5GJWNChdfAvc9jOafVBOvG4nzqZ0Nof5V1WNfA0aVMRpKDywGgbtbZlql1aJcbHv/6SgDT/
5Q+gcUFslcXcdXkBLX6jn45/fU8q/TCJbk/TLB+ByMTzNhf4UjnweqfRjJvjmI4NTGvaYAb6FStc
SB4JuR4tXr57YChsFBXIgmv6fARRR4adY6pV2XYyM/7fHLpzsbJybR7gxafs807YYhTsvGn6ITsa
A1bqQcMZKT5i3D/MmlwJtsSRELjpTCwILQrkyJgKVGpkJQauKUjRkKPxgIOrvmnAQDzg+x9vO6sn
OcRt6zevwAdFUu4wIb7gGw1lPjzlPSOrNv1KiiAHsQkTz1ipCq1iHOrVa5xM9QvEVn5QjYl/avE8
buA7hhd/gOy0Htparw5cKsLrIqSDxiqkBWPtlgIGR6PAmQSP23yYKrD8YqzisyNndJC23/DmjGA/
1CJp7qp8oMk6CMbRaSeQrrkxKDNrhBKuF2rN/t8cs96Ud3iWOev0Yty50sgPXxkkhtUNT6leDE8y
nd177o6JFo/oy9IEetS7o/yYKgrhSBAVk+A4eIy7sHphMMidkXWp711F1AdJwZiHu9I/uZTde2Jc
ph+qr6dHveFHJr1pn90KxXE4IpGWUWc89IBanv9BMK8q/1QUHlfET6WdcqAigSVwCfAIsjyvN20d
5itVDuYGrEx2qd3YR2SI6i41q+bDJjwBg5bBQSFKOXrtAbC0QWn3kqEDj7OndeRkJH1+qDxu7iRq
RSs0xSXfWmVT0htv80PdkmODSCkD10VQi4bs+hIRQgKwJpY39CqWNnE0fM902q8wvLNtkaNOWzgu
r8koh6fQR9nny4GPos20q5kzB8bIN/aVVt+E2fKwa9I5f4U02QT7bVx7CUry44KcooylOMTl8B1C
5LSbEtM+RzZ3gogQL7DLelqTgchJBBwf1zXDgi1QoCEzDFOARSM2apwxYXhx9VB+OAyNrksVT4+m
Kjh4VTwMeSOzLWKCjnRH13hgrKbW4Ibx62tc2zbiPqb9cqmXJZqTA/p9Yji+nb/ijOTMnbDdatrZ
Buufpnb9QpRGeKQh8aI00jfipCnOkfdDRyE2BIlWuHHQhghv49Z51UFwLGP9/ikyWZs43bJkZ+rY
4G07f7VDMXzvbFHDo3RYlIsteKRWunGF1lFn2fW5BpJ19jvlnPspNB7KpK1fetJcXzXQKiDPwQ40
Zli9WkTJ4bfRnPvRWyBYWor32CtV9RZhzyUo1eLw5jd+tv76cl7MQ9BWrXYZp7rsiHKhd6S8qX0G
/8MwpuoMuGAR18foSJ0Z87RYuUpP9l1FfPVqxMuwc8aEzmdO85RVmyGoBeQmv9FY80+pPglr45qW
vOlcM/LMZy/zjcx9GSqCtD+SprdfEqMssmg/WHNp75F6aeXG0nXVX09ShQ5SX6u3L1YGDEPa4/Ro
eHj6K7dHGm5glYC1O1MyLf7OgMoIJj6h3mxNfXnTVz6VGSvsaGvZbae32l2l5xfN6W/soi62jKWc
u7mhQnQE/COcC3CUwhugIdgaBQ9RhAD9UJjZYwtueMOcp9/09vSeeFD57KH/zGKzOGhlhL7djg/x
7EY4t/r6VNHk2eTOQKZrGHW0GFu5iZL2auxkiOOhMY50SP+HvfPazdxYs/YNDQ2SxQjM0ZeTcmrp
hJClbsYii7nIq5+Hsmem3f8/3uPzAbY30HDL+gJZfMNazwo31tT468J38RyqOL120BBewRUapjUa
1pOXBScjV/UmLdDBoV+N6qNjm+zbDQ0TxozdlUxRy65kUfyI1Qy/TbgLv6rFpkCe4f1U+umW3NDw
nCWxumq9bNx5CTdsnSFDRaOHOSwMYqCzfJG2NZhHE4wVDiy0nArz0LYaDXsNgofbsrSyPTNjop4M
CYXeTcNDH1sPYgn59FDpXKwyFMXW5rP/aNU4emu3Do15JRFiRKgFuuFgqxQaqYUmu4pgkrTQakrb
7I/xGFpQhkIPYWDk1ZspaukXx34f4yTBKFGnuF8SHnOJTbpaVnr1Pbxua2V1ebsjapaGjnk7epdA
vwVLlsEocn0uSaHFcJrnr6ERVf7a097ESHPA+ubjs93QLdL5DY6gQhT1HdUZ6J6eCMqj4nw1NxOH
SLKqc2WTkMZ9deUQinaGLTgjQjLto60VQVVJwl3VEjCb16uy4gqEqOSelNfop3kU7NYyOF5BWx7G
YiMGowKG5M3vqjDdoz3J+VExaYtZsoaMG93wKPEb3eI0nTdD1NenHK3D2rMLyeWO/L4YWbG2DhIl
v3VyioPJIpqnGSWG3mBXG4PcGgu2cXQxVjDcy775XpyuAnMakctMw6oPB2OHyqXCRSXvCubJ6xbL
/TFNBWAnGpJNbMThcxHE1r5IueI9USXHYNAs/8bIuarCygEgNhr3stPBtVXP04kp71CsWDkn4C69
Rn534vo6iWb/EurO9pgnjmCPCtd2N9JJ8ivmCdaR2RxUsjQhhaOYI/Has3dkPujiHEN8w+I6mSDb
EeOXmd+VlLJACFZ6emNm5nCckT0QaGA0eyKb3Nex6FF9z3maXZwubj+kyDwwjK0zMICwStb9r+Fg
mocxydt0hSQAOA2xVvnOT9zh9yqzqnVXjEtdoOo7ckSW2LyhrLYBooczyh7sKdHkZz6Xn0yOjRia
S1i3lbNuWNYiOavc9KAR0bTrLK3cm8mO0gO2FfW7reBDrJkI5ct3Q1u2lEhZJngOLaTOzG3R2dgA
JZmadZ8BID2F9MXGjWfmLbsgxSn8oywINFNkdt4raILcAyBILz47gWgTL6leGKckoDLl3sxpatwb
lVK83VQku54NarCJTVZPkiIvQYGn1e9a9bPaJi5fkoVweTX1VIV/FF81IvhHZNDtp8r8LNjYSLSp
kyW8q5We0HFThnoPmq0v+V8UjOXWRmuxyRK7OMIqLi9kbc8Hx2zhsVYjh3GTkXElFeiwTeK2PNxD
WZHjFIf9c2qLGDs1lUbpeuoaBfbyKsL6m0Cakq6iul4OZeCePzosWqs0xI4A4aO2bjkGy0+hvGrY
GDCdeWrDufViDqKVXMLmQFVO+2UT9pykgD1WVm0EJZypZtovxqwzMZW8/x5vaRzzLK8otl7BLkmi
vZfyl4zLV7/TxdHGYLoSsWM9BlJPP4JJpXs9RxVo2DQE+jMy85ncCK9RpURxzFn3/dFz/48jZFDy
/08TAak/oGlEtI6P+VfwsdsbQhXT2Bx0zVmCYkNl21qG064CnYlTkz1gmAj/BwTo4ZAGDA0Ny34P
MoUfLxbb1OUxZbhjvOmVrK6GxnZeB+Y9V+ks8rNpSvFmOxiVr8iwKYdzkyQB+B8C8NieY3gHnkPM
epwd4jB1b0wrUVtW8NQJy8aTBzfoJC2ms5NQRTETHTfV8s3aTm/cD3HjPRiuPwH6jU13CcdEay1a
rm3P8ag3xooogJ4LB7oLtRJNChFzcc5fmvELlcSES+6ArxpJl3N9Vxb18l2GS7mEjegb6kvUBYga
HxyGnFsGUOo6hyFxyXqQToNFq4frYXiOAYuTxe3axVsj+tw7dcXsI3+IxpgPKQVKaei2Y+sX54m5
7pUgsPIgBFqjZu0Sf946G95QaT9XkUOoer1EuvgABOIjMpZ0EzF0zY8RhVS0MVu8i+sIQ1qAU4pK
5xya2DqJstOKU5BaqjGTrISXmPCO4zJEQMbFzzhLU0L5EHxXxkRxRRtjHuh6uLQDp30xM0p8cD7u
unUBz65lqNjtNRTMQeKo36esz3dNimmtH3iqmflIlg7OZpLl2cY9d2nx5jeLA0Bb6jUYC4TuDQsH
ink+uzBHO3aa5yWgw02M+yazxdHihsWsjGM1yjFGrxGnFccO0uO7hnz77kwWz2QbIyppdXyfogua
WzoAfJQ1CfL9SLPlFSW7GMi8L2hBxNHUXfXWLTV1iY6O7M8O2Y0zFxrCWTH2O2uOJS5z9tsZc+oV
zyz/ToqmfzYtcMrwgKp3tyXgB3L+dFYWXcumwbtMaVex87EzGvm6LtQ1qDCfiaCjq/cuKgmOCjoq
0shBm7Su3Jl7pDX70kLhyr9kKVZ/VKXmU5EzAGOqcmzEJBGVCWdRrWqmIehAw5UOl6PrK7DUndiy
g9uqv4149i/WSHuL4gr/sqWaUzr5pEhi2iNFTrL6N213XQXl8Mzwk7ZqnNJ9sHTeqBbVtczpy308
UE/BWM4/IJ6xMEuDWb3mnrwdtK9+h31Gm2O6MekoxMDKMfHWFuSBdYnZ6e7rVWtn4cgGacWFURXL
d0BS9NFablVNJ8uDJB83kBPVm1vrfqcbSXhTZrKI7QcoH0QaLPe5SeOUaKe+M8uGb6bCyPf5dQaq
Mi6jpceeUJJhFF2KDfppAYeNgRbvDrfZeY7ZyOmBqcbXZWgv+mEu79o86K9VX0ynKdqpvvvqtEvB
5SNHTKKeRcdao1A9FqWVHpDgApBk4X3pI+RIX20ZcY98DE5NR8Ggh49+GaAwdp12uaIRH5PkB2r7
6WrmdivXeop5CIyaGUQQMzUwlc7va7WQTig8QupDHoV9BTet7geGIkzhZ8a6ZgGSmneEyIO4qXjm
FqxQ8T7akZcwdslNgMc9EEL0UbSRDExGgCzcMbGW7o2dey6xCabJRswbWri4bGw4w/L624xwDWd6
N9YfcUanC2t3eiIXkn7ZboqjsTS1oIQ51uikoLItHfKC51sFrV/CSp2X2b20abLrmSNOWPz6r77Z
B0l6pXNmZmUFUsAwje+mubhoI58p+rqQPKSw+uS7Py5NcJ47dMfFsays6N60ivKiKpsNLnKDC4jF
+ltlMbsAvccso19qlFGK5GZwqHAhW3Uc7gYAgqoIqzfm0uyOzTrEtcU5W40JH2GCPPfDLNkYjXmO
Rr+lbN22HmURSucQT668rZvlGMaE3MLsL5gEhalPrZE3/HjY1dM5FTxok2XaONbZ8hSgMH6zAi4J
Z+7bz74GApZYUXzjA7/fWc1y/eQOhRcn0arweDvRMnX4KiuCkMlUjAn2XiLU3i1IZFzRlv349Wwg
PbQ5Qb5Mbki/Xfr9RW9tuM6NHxsuj4oxDAgh5hOuJ5Q845JpG0oAWh5RB0eHNmSdeJn1qDyBzbfn
iwwZzB2nwsR2JUhkdW2KB7l8Bwn10mvLmkLtmrmiKBotTjOYtc/TSHmicuYiZlXYj8QIcNhyjn2r
2gBagFeAiIs49r9GMUPHsCiwwW3FZQK6QjPIQM2DrIjyEnIDSK5dXWnQ7x1FpuTG3ndCMH1iN16y
oBiqN5SHDAZHZnUijSjROgoW4cHBsBnqweD4smAvx6xe1Od07DDmKyd+oZua4BbbcqnjwO2fdAOM
oaFZfkLzCvQLFfYEXHjgwzQ53pKB+ygPBU8tb1DU1oJrzTCjez0yp7AL0A/HEqHqaVQFw5vlqBQm
H0qTi5yNqo1NHpsd0wbQ4aIOeT4ktKrckw1TwbLzF8KuZT2K2u+/+ws3HUhBscLczY2bLqoEyHXq
d/ailBw1xvIjmxmKR4UMCuj92zC4fGqEa4gjWm9ulSHnM+gK8gHLYay/UZVkGHfBPvFQNquQuoXY
cCKGTQ7ZEaDlMyFrYo3IfNoMPV84yKP5KrcZZX798evGnGTGI8aAN/3hjjxTyblyjuXc6Vtto3eQ
SYYpbqy4oVOnPsW+yyEzuFzZjvJnF6kwq2nlzVTCI3wY3eY/emeuPCifNA5fAzofjLFj0xGMSxUw
abL8Nmxb+z0NHO94JCwiGw994LzCLE028zIBZ0eptr0L6m2Vw4M9dRFe4b+feX/xqX5atTLltjzf
9oXwWYDh4l5WDT+PvCuWvGg0uoOD3Zel1ty7N75HynYMo+M0ORxtSUjx3cXImPy4krgQXHEAUfkW
RyW9S4lkvRXDBKBG1d8ARTg3Q2rrJ46E+V+oG6xFAfDriw3IVxMeZi0v/PXFBn6QoyYS7cFIF9p7
C6xygrewNq0MWXpPY8K0gkLUGmiK8o5kR5NRxgIcr97BcRCYvJzCf/8J/iq54BNEj00+1vKiFkXj
L7uRuOdKDtO4PUgpgC6H8DA3bdDXl3k0hn3DvnND9z5vJyGYTUQ9Q7ZM8e2ywKaTc4b8HoJHfRLL
7hcFVvWJ7te/C7xYbTllKQwNFsSrunONf6HO+/90Kqiuv759slNgMv+y7kDBm1dLoOEBMVl9ikLm
NkzuqR7rrG7uIMqziYCJsBk4E9/aiacIajL6wr5z/9y9/N+q8l+sKi30Llzl/7O38vj5nlQ/7yn/
/In/1OBaFotKQAlIbTFssTb7rz0leD6UtgKVLpKywEf9+uea0gl/w1PJSs/minW5YLli/1xTOvg0
Q24tFLiL9IJl3z9ZU8L6++sNSx4ibTAvi5UaKg+x2Eh/Pl1yK6o5vyLv2k0cKO0RcM9z6S9jCSOw
AEPGaGpkLgD50MMXD9S8LuRm2/+eEHz+gMcQHKVViUcAfPol9430zKxPd6vCDphvqNJjyhnObVht
DHga3b1R2DEZpfE41k8ml6pBTk1aCHmGPdzuoaNk2bVvJ7ikoBQEO7wM5VFGEzoNyoy1nKx4U8rC
2WBacndJyo5ym4X9XU60abOU4NGlAMVxaXu720/eUJ/ssBk/oTG9OZKsCCdszddixBFCso56a2Ru
ruFGeEfqjnfRZCwHdZAAcPHtJjnPhMwdTFU5O74o47pEKauBjg+7hH1aQ1QESbVDs/Zh2sphR1YL
Fmo7HbMbI0nsl2HSF6cXagPKWDERTMz7qV1oM31dbobOfCkY9z5pV0+oibXYKzuksQu87WBO60gM
8g5pbn1w+sa+bqRElBoI6BBZml7wD4xHmtz0CiD9O4cQ+BqF4cVVXn6uJeDSojKG39vcj45T5Ao4
s1bxnTAVtE5ZYH1fNHY1A9SmOoR2+p2RQcMoMtXfXIu+CZ5zFrN/I8uHkJPgDYcM7ik/w8QYVC8y
lS+1wa8uazUDDRyH16gjmx1NYLV18tRfu8oHeu6zVFvausG1ViIN5YM/awcboZmo43JFPtVD6+0C
K0qXM7fID77d1+iFfL/j1Q8+LHrYBnsTVexEBaLHfuXlVnzv5FZ+O03tfBONDBeS2akvibCxRaSm
dvktgqaCKL+9QzjBhHJXpA9sWYuLK9V0SQBTXNkhoB4vicZbnK3Njmwt/dEFTsFzyRTdus8NzA7Q
thkDj461l342XlgdUBe7ZXvpiMtFS+KN8SczOmNdKOUeEgvsGWM/5Z8txLi48jrfvGalaa68JqSc
ahjKc257A/vEoO2fiZ3FI1yLyd5RptX48E2Q3HacDEzl6UZzSPyY86Qdngcp8el1ionJGloGgTWj
vqQ1L8qvPQX2eGqfYpgD7BMIgv9RwUXbBkER0giDlmxc49ObmaEzVc+Y0VIBr0RjjBhXGBCshRJq
52dm+MJiPV8NjX9WEUA5GQRYGWPX/H0g235nw0X6YEY5n2YtCVDxhsTbLym7q8bqxm9MsAXC9shn
wRNEu76rwOeX+TidWXY43TqA4XfCozqqjUQft516e771XafazjXUA8/TJatGYR9bO2/umeO7+4AZ
xrOLl+cOV0wyrbIoN1Z+GDM9VmLCxwM+ex2EvCWvwh6PpDPEVe2P9WpuhmlrzUMGuiKatukYzE+D
rvWKatTaJZi5N0lIuFvTOdFVEpTNrcd+hAyM5hHRuncfiv7QlGK+IX+Fvl37J4xiBEpnha2PBNQB
TqHwvs2kbWwtsj4wYqlgesjbQl3JdrAfbbvO3lLTAgzvAUbqx2Y8BlOaRMeSVEQCoWvSncGxMMIy
r2B6bM2yGu9ip24uU4abmsPTvG57vm4QagnhWvhmB9rDTSxGk0G99Ynjz7tWTl0eWTDZR9n22Eyt
Vq51qaj3+ZL3bC2TTZSqR8NXU0S7IboHADbTd2kqynXDnw7MxVh6TLXErWDhiEIxkxCB4OZ7v9fk
cEQc5KY9d+eUXKensjCdHVv5GPXa4F2ZujSA5nEQhTENVJSHwauozOQwKbJfmPDjzHS6ycCx5nqv
PATpkMLQ+E6ChbFCuCHWJBj1P7II3ypc+Oq+rfFvENRE416b7/Es4y1KAvZyWOj2wdCSEaNYHr2y
hu8ujSzusXWzHQ69ci2aRp1xp3e3cwlhZWTweWta+JbapGGFhG5+3jqx1+ylA6UHXx90/jwYNr2f
ON/jhZqFWOWjxxW2zjkziQ/JcYE1nmtcEsOpmUW744vS4PEXDPi9F4zhBoO790q8AveG8DB/ugEj
ojTXV2XSGxxY8cjGKHXe4IiXq8Cv02srKsv9bFbW+4itFIbd/ASaBQPwONkHd/AUGyeYAQ9paumN
ImWEBMDifjatI9UDEsZGWCSymAhVoG+74cZPh7tR5fGLoV08uT1g2ckrk9uMvJ5yZdTx+GzGTN1C
OrsTflVFhl0ehQfOTWLeOvPS0rPdz3N/28cQtevCLM7Y//O1y7WHgNomihGYE7cEM5HQYgo3x8kx
JJojx3GMQKCpmLWIKF47ZRwcUu319M1dscUSJtdmEF0w4+cYz9oe0SBsWqaL6WZU0jlyQ7FKkUg3
446IUZp7bO1BJJEGNhzfYzS+M/5RexY83nkeWv/D8osCA74yrhla3rWs4x/mwHkyJ6e9ztnhApVh
ydgggtoD4SfdzfWHp1Ym/cn15Hs2Z90xyXx01jnB5gOQn0NPaKyHey9uTymMHBr22LlHrVDdzkg/
N1hr3WGVZXdWrOxXA/P0JeSpjM7dioYXi7XQoZgH9yJVmp3s1N1VIquRCpqQnZxnbYwkzQSy2Kal
iEiNGopHlsJq33dBfaMCnMm6VWJn1tH3AAAjiR9Jsg/aEPsg+6FDWxXzJQFlcVZuHn8bQpZsfjtU
jB2Lmp2TO/8gt+oxkWVJMkzmP+QRL6Gz8m7N6yPhKRNXA6fqViXWW9Qy+5GVk9ywF70UI1YB7ekL
egfnqahz4JMZGRqO0Qx7UgVCZpd59Nb0k94Tc9e8QYABDxT2IeQmezj6Y9bvCmzEo8W5ggXY2sVg
gPKFyFP0WE57FyLkRP/nB9l8CsNp5ZPmy5b+7FdE8Kxw3TApL9jQJoFZrdl/F09LEsMDRVV+LuuA
R71rod1kxhZkNxVaiX3ox+oa4+5OeovhEefD1SicclNqMpaTzJEEDtrxBRw+x46d9YcYIg8zjzHz
bmsXP3PiEIShg77ZTFnGPMwZ33CjZ+vKxyCxH0drvlHsSde5i4ygmpty5wajfu+DKGCMTVYgZwLT
N0RDcU2iC2zJjVvN+qPME/XmMc4yKXPfZRyylbPjH7KX9S6DAVWtp9IgHaM1A+AFuUF8VpN7a2KJ
YElYTl5eKW3DuiSZbTsOEt204cSfUdfYG0iiI480D9smshvQmHl2Q91LapFZ7EbbYxAdKZ6gY2Sd
Zs4BGHJUmwmuJ4bJhvmDbtxddVPBhroDGVl5Xby1UuTtlB7Nti3yO9efc7FqzQmsVtQuWFU7O5p8
1W+sAOID+59o65e9Is5qarGStH1LdLjRkkhQwPer/cj/VidmE+4sgi9IeTDvfEbINmmvcXZtjZ31
oZVf3MxacyCQgg1ZM7d3UTkznH4IdNRn0SYagqT6SHs5QJaVZRHKR1+TqeeciNSC+89OPKwex2ng
U6u6T7IbMAOUVMorpsLWjDytsPwBKH7mbtwwzf3NlMTlxugi8k8GaLrflYceegx5hdQI7jd+BnlP
PEZo/gbFninSDROJgEV4y+KmH4L6qlb87aplbSm481DJNDt+o3GVA3DY9OC39swxFN57pUsk/6Z1
BY4/OHq2NXMH08xd+733OCdMhmqIop9OoQhwm/1ZnSNoFlt3Dpv7RtZilXmygdyp5J3J5H2DNgAY
f5WM/cEp0J5wGjAWqyELVg4ljD22izw+zQ9eUzhbHwXA2Sxb59SYmPZS1xRbYJt643qTRHxu8PvI
56uedDo4L60FoGXVpgr4X0texIrVUr42+eTu0ZTj6COF4XV0o5s4Y+u5MotQP+gxjDdDFpP71SGa
u5pUbCMFbNtNIwpYIDiuvSUHQmH44SkMEAZu5DFr0fmvWlXKk5ZZ9hgHRfeK/9ujZ2qH66kkr0q6
c7sLlg87YnxHTElH9+WiBrg2omFsVmyR8FH0yjxOWVs/RJE0uw1w9YwQptA94qMp77s4hLgA3ee5
IUjum6WY3ZRV/BzhA7g4NvJ8gBQmu0d7MZiWIbStfjDPfijVw5DodtkbqtK/6nUCoSap3+F7MPJX
s2awTt7JvA5Gk8d+OsdQhcwi8m7yYipeMhNEaJCN0R67mEXEZm/Ze1qh7gk41vg5GAgGFUPpcytj
teEVlbusybgJsSIRReR1LrzEuqHWqbGnbKLEHX+fqfqo+A02Mk2lp9uaYRrseRAZ900cUonVM+6W
gXCjbRsY1hZdaXiEUpyikJqzi5sM6VGK0L8uXDoHX3tcTKbxexFU81NCeKG7YtbEmwO4WW1NN59e
GJWz7rOGkcDPzJ9vjKmC4Ej62r6zh+Ie6ADbvpnrqpnBWFpoo06RnYM5pPLFMhZWhzKLrHVGWwZW
tVwKWcttLuhkilVamqS88T1vQ/RmLBDbNJMsRboxkDdWnrViW4DRFVe1xVNgBZ0wCdZ94oESJFrD
mz+NqTRHwD+QN70EzGlaDsb00rFa1I8M7hjJrYyOhre77c0Wp9W27xmjqlUoGj2e+UiaINhVMZj+
tWitCgbmv7FwaBMHVOv1HOs9vIH6EeiOfv5p/HP7x7TzZ4/arxNbVN/41AANgN3DV+0uHu6fZyqq
JgC8ENZ4zcDd3RihTUgZGARfI2oLwBTHb7YU+yGzTyJ3d4bT7NzE2gY+4QM99j7y2Xir+3Am7YUp
5N+/uMVS/dOA9o/XhvXMcjyf+ay96Mh/miZLa6hLM7LHa6Waa19RK0YH9tb//JeADHPQozN89X/9
ANys0zS9oIBSmwwi/vFIZyz96o9p8/+NJP/lSDKAqv93I8nyM30v3/86lPz6mT+HkoHzm48SD4MR
c0SHzcJ/zSSD4DdUMQzu2TcEmCrsn6aS1m8+eDiMBmwiQAcsWe9/TiWF/xtWDKwOnoD6ZnPl/5Op
JBfKX69ShxWCxasA+y+YrOHY+OtV2tttks6JNo6RmPVG1EXxDi4JfEj/hRJhXcj9NC2EkbZflrM5
CT4XL4FAMn/BSKyFSxIthBKf0dzNDNP6LTQXgEkc5mj3+CkJIQTCiSzn8k26WKTNhX8C9RUUSjY0
4oqZIe7d/AuW0oaFB2k8ePCbvLhvdD/cmMO7XBgr7GTyZ1aEzWv1hWCZhwJvYc6W/J15oNSr9AvY
YogF3qK/QC7iC+qiFr5LYuQ8aEWzrAInu4kWElt6zBlWwDguwp7Aaw3GtQcmTL3ZEF+5ZeoPQAa3
PvEdWZCJfc1iltHcQpsRmQ94RnxBaIyyINwjX9g0CrzCKxiX+bpvJ/Q4C8MmDtvxgx4Hrk2XosYf
gph98cK9mVQWv9sJSpQUDfwKNzKqX6nW3kLL0Qs3Z3Z1dcspXwH5DzQkngnpwb7QaX4dCKnvnELM
OzV1qMaqIwarnmkicSZD2eMsd6b9SAbcrfVF9Mlg++iWjEyhZXDruRb1WJd1D2LCwJi2bbvFOS3Q
3igEDhi9y5Pbxf4mm4gPJdgZwtDcAhsa5mLhDn0xiNIFRxR8kYkaYyqeQVv1D/2CL8p6C5JRv0CN
0gVvRE4ZwMAFebQke17GGTwYJnZvVYF+xlYRzZc5tvqXIp9UDSxMNpcxauozJfbwA603eKV4WlBL
8K+W1X5ZbBXjrIwtTEiTwPx/uCoMEGLkrCxZ1V8o1FZDg45TySPNzsb2LcPUhwMBbR5LxFrEt2UQ
lhYGlym9T1QuXuxYpnfh7PLbhOk3DyiJsh24FedsfVGmkgU4ZQhEmqsJCpXdgaMaFzAV9Bb2+TLT
r2ipm5NYAFaMovxm531xrSyBTmlLVgVsqMyDfEXMRGV8I5ncu02+2FgDUJ5yFbZz/uF80bP6BOh1
bM4SoS8tLDqT8pHvMYdm3Sa3vs7aq3bBcflfZC5rgXQlUekwB0NFsuFyrR4DAc4LFA1kL2OBfFlV
7FzVA2GXBPFJBbvGr9J2NUru8m8agTSmjSIm24ePR1MiwSofUIaoU4UItesQEg1T5jEMCrVZXErw
OiUEAQIhZni8jFijYWZVPo2DmE6Jm2SHevRurSBjFelAQGKnz9wWWgBUIe6ebav74jWKaFqtIhqK
jd+zM1ijV66Yw7XuQ9+7Pct7EFXrziFCNilT89pRUl86BvLQ7siYRvcPrT2fqH0igoYCBAzrhvvl
PmqZ8q5S1hxPOhqFvHh9Z2a3fspWPdw4au7NB2duIUIVK6Sf7rWNzvIw9s2zUyTjnZEH+AtQC4xH
0QynIS69K5SpjLW6HGywXjhQvZzuaswoICyKeoXfKWb02BZ3YyMYrII7Ij81I8NEhMXWh7iyITyK
lGSaHKtOrmXG/SFJ2QOWeRmyEwU0/yVh1Pvej+ptmNqvHsXqys2MU5aBzKqxjEIVQbPtGQs6rXWe
E3Zhx4jdwtriY9n5YdDepKbzGvYq3hBnwhhhHIyrbLYI2l7QUVNvvpQgv+giQE7n02fTDmfix4t1
1JlkSNodkXhwNXckzz9pgUGhyKrnwJ/8owzUBwTwYgtq+t6cSBWMgIvEornxxiy77eryG4UvbdN0
9kmv2EmzekDGK1dS+916NJGgmWM+kI5XDDkaBRUcYAfmjCYXxNnQ1iR5JN5VzWz11Ij23GVRvJvC
YNjbYmAL1U6MFx08eRs/zJNTE/tOyttT8yvNRXsFA83ZeWCZbS6js8e3fTHjxmbM15f3JhKDveGW
xgJN4Gqi+L6emiiLuH4AdQSpq+7qCXAbJTiNACO64i439Hjjhc2nXyXmKU9j6zzLsN4aLWX1WoHf
XI5Z0h1gcU7xow/wdwMYqNrU5AJv57SV5DDF03WB5nY1Ieh8mnNCnBDqtNDY0zu3MWpuiZzh5zC0
17LJyYKShXwYiii6c+2IHKseDIQL7hP52XAOI8htCEWS90JH70lr1ne28sdbW4f6nDatuPfSsHzo
x0quO+GdWlZDcJW5dDLDfHHbpF65Bv+XZDpaY+mG259D5dJDex/gYF7P6EZ2wHHCXY+67Qd8xvIa
l2/bzzBROgeXd4Mx45ozxrhkXerT0yayvieOpdjUfpmfhV+JtRvZag8FLPlwCnIggdu07drP+3su
wuI6xL1ym7lLg1R6/jb15pb9onkLC8zZdAiIjnIW4rYIRLgx+knduKP15g6Nx3zayB9kCAjT7Xz7
paNF37WjnVtcGQk0PuqCRVzolztsVw22Y+Ht0TSywhi88OS240S6Q6qPXscjUuezdzQKFAF/yAj+
UZ18lX40+Ld/dP++/NhHpaYGelf3BeX97z+RDrWQpdq//UuPleR/v/6Vv/xngfv++eoWZ+9f/rAt
u7Sb7vrvzXT/ve2LP15C/L1a/ub/9l/+L7HICECpLP9mdV+NvxTJXz/wZ5Ecmr9Zrg/7OPhLhRx6
vzGkpFXGh4UX9gvR9Z97e/GbS5kY+KRmhUuB/N8VskMqFtn1sBLY5jsLY/kfVcjiFycuEX2IGIVH
9R6aizhoEeL81MdNsusGfEjByaylPhtZqzZjbuf3Wrj5pyyH+Qj43PGJWnHjmDM1yq+FkM0rkNSW
g9ZvjVsr9gGXJ2oabh3RRc/5zO19rlOtP5KODfBx8a9G66jk/F/XLAt3vRWF20gX/vOEAPOubxRq
vYYc9OiUZEHxOQyTexnqPnhOCDCAt1g0rP87dC0TMxBGgPCIjknIxILRerHNElGz1C1DF9CJFN4n
Su/ie2n6x7go5usMpdpLl9bOfR4Z/bxBiR396MSMGdAYrnJGzSSHgxx6xepSvztQeV50DJzUJhL5
BwlFCth/7OLAbbR/q1i8UvJPouVOj/XV7DfWyErFmX740sDAVmbMsP2BePaBINWjh26MoTfi8xQv
inAu4LvyjO37bKFdHhlzzyQGHgovardEmiSv1iTIcsHURRip7wofVwZ6iclKkhsqBkLe+yo+pGMR
74mRCE4EJhIFXGklNrOU3oNM4pnspTIpfPKpE1vDZbV7VKBs7pE8OFX4OVkmOgKMQT5b72LozzwH
urUd5fWpj/IFPkue9MqGyrouah2eF8wDD2oeZSDpVXDtUK/z4B/8/n7wZX2IgS4ccsNs6UKioEM8
Cq0BYagHGbhYAub9wFhXtubDCQvSZQxVFjcWI1+0tOh5b0AGVSQcsGf5VvTQn73e6YIzCHyGPck8
ac3zHDA3opio28TkMWyLtmxuWI8161Qj2V6xN2OXMWrW5bB5ulOXIZFdeYmOb4NO/cAKPfUHs5vr
lIRt8R/MnceS3MiWbX/lWc9RBuFQgzcJiYiUkZLkBJYkk9DaIb++F7Kq25iRcTOatyc9uGV2S9AD
gMPhfs7eaxe/MGql0CH7Ke2Bt07yR16z7fAA0KRPfjvEO2hJ1RoQUGzskJ50L6Xmcqjo625VlLm5
cRWjtsmYrIyNVrgcvIZII8BXNkH8VKlkK3WHSUH2ndI9BmexxZYc3aFJD29pwyPQ/8nThUCC1L6O
uLdQRqiFX8LjGQuSuiw786+DhjZtphWU1YTsKKb20G9GTX8MHMYgmGQVp9O9aIZg3SPaRj+qaV3u
+bk25+b42SLnDV120Nj3oxSIjbMk4/XGNwEZbAkqrl/YBLUuhEvvvFFLXEr4RzdxmIwLxUYVSDQR
HH+MO6s00S506VKZVjV7MRTijmqNlyJ9v5xK4aNhrdX1oOajZ2GEgcg6DHQgO/jUq9ypmYECtfm1
YhajtWqa1qDLiisRH6vc61mdraOYDZgxuP1la5CB16M72VZm20pUC1N1YTVVu6cTk92NCO2h7RaW
ubXiHA2Q2xymkBczgUdNhsIjtqKFlTrJTwd97Cq2kMQXUdw8KFhZrgHK2MsmR5kXDaZ2jxmJVcuh
T8C5RJBaabGlpakQLuI+cJadTqWya5NbmkNPLlJxZK682EpheLEM7iz6oyRXafHSJxIGa5namQvO
nxCMJouWJqpq7nbRPwAAC1dqN7o7uxDTWk8tetB6rN9ZZUu6djpBZRW1uUPDkK0tlFozn7Vpr0z2
qesKBsHlSH372UiFgNRjxqswYd8xlCFno1baD9RY2ouyB2LAItWwprBNYa2MTF/5oU7QhHnzg+lG
BTJN5TOIb2G/p6+Ysx2vgNnntYpLjoamuMM6aIJh46NUXcpczZY9fLAlDYLq+k20bNeZc5HU+gtC
fAIBA4IwBj+b6ChVco1agRAtg5ty6DlArzHe5BwZg5S7rRsxLyqbMPdHFI18RBzMK2TTDXJYQvbJ
LyOMbDdx41DuVqFUdXkycRDR1bXqAL+Jhd0CfHayL5xGnNtQBlDQAh7/lxjllo4J69pMhvxG69po
NaaB+oAqJ/3VjEJ+tbVA3NvVkB/w+gcgWCt1kyJ/uepw4+5i/D9ImqlsrE0H9fPSCKP2PhIGChPk
vC9Gw5RGytnDg6jyK0crG0IsTO2macxkiVe45a3qx3s4wXOkqqJF17Jz2ZlzWLuEb+17amjGyy5u
EnouDktmilfEbWIvAmiEyqWFg5B0jg1b2ghWRow9GmBOOO3VtAw3GSUjCp+p/xjSvwtx6pnNN7Z/
EVlrShdd6l3SeIQgVbCyteF7Jttkid9pejA6A1uwH9tA7dNIwsqtmkea+PrlhFQJsWpBfA1u8Jj5
VoV3ptVq9+jP9M1UxCVJk9AplqT3hM9lVTakV1kwLZuCohkLU+XxRR9ewoSesRFiLF4AJhzW9Mzp
/+ig7GNm5d6s5UG2xN5wPjc0Kb+olTVvbkeOMIn6ZSQWM/fQw9TRM3y5Oe5NYhjnS5So9GmnIqTz
l9P7X7fabDg2uoH8PnWYfjqys9Z+MnIMBiGG5xO1JMDdevYwh2O77dXsoR8AR0UkBBCtSVmHR5mu
2jxPD8ZcScKBvW8DpVxhho3+Zqf80f749Kb23Vb5f7eF/r+4P55BmJ/tj69eovz1XRX57//inw2y
Rfg0vFlhGbppOYbpst39By9rI3p1VFuQ/wHq7p221f5LwO2D4cfG1XmH4BHGX+hRbTxOqoaJT4fb
+QehIUedDgBDJJ4houUQMIeGWPy4dztkCGYG8qOJPC4A2mtzvGKO/nY3TnR6Pg7BjtQ0Hc2lLK5R
FH8/BDC6FLwsLh8SfBbJ5OA0ROpjcUv/+0zyb4wy/4rftvp8dIfBDGcOSv6tUb4Vw6s8Rw86dyFH
HSs7KgQsZ4YAu2WrB0i21fT986uYS/a/NZ4E7Qd4mQa+aHWeGfaRlH3QCjlKV689KStta/chrdnA
NvzrVFcnbxrZb3QtX7OiJhri86E/dBPehrZMfSbc4hs60ji7phi0QDdqD6z7uC4NKshUH0YOR4pK
jcwIKGiNkGfWnw8737QPV0yDhYMgl2u9eSV+e25Gg+nZjhjWroDcoRB+5As8eYE18c234/HvVexf
+5pPDQeRT4XZOjdQjm5wUFeqhtGN4RppPlR6tbV9UBQV+/UzPURtvmEfrgx3r8AaSky8enxDp+mf
Z4kZpf/RjNownzDbn2wNhoVCNZ+2haVuLWdSX2AWTJ5EBLr4/O7O79bH3+DQxRQG3o5jU0diG3Lq
A5WoWjsQB5MaOH5rpzozyocXg6nDI4R4KVSWOePoxRAQ+FqRabU3JgFqIqp/S+GOA5v7uDzz/E5d
kKD3RrUBdBliFC74t+mSEDZGWA6udKTxiB774huU5W9/ftN+H+PociJT6lbVMUc0XdIqq7fCyQ6f
D3FycjD/wOMyFbEXHE8ON3b6WicZuMx7JkKr6nsyvMl16froS6jAgibsdO4AGPirMGXvHJ9wg3M/
4u3JvJ8fSKEAxOk6n6H5+b2/nU2q0MbqqhoyY17/KGxL7eHfYtG1Z6SU6dPHoyHis2eDwmXgYMYU
ZgxrThPadhy6fhuVdf2kh5Ohof5o4lUt7YNuIgpchd2AFpC4yw3EFXVlyKHbaGCB7yNVh51ok7D3
MCbOQCaAHV9gYLWXTlF+o1ZNBwSsSUp51wMQR0cJ8dRCIaxnlSh2eIWSfKQH1BYLi3ThC6tu412o
pvaFSqLUVyXj5IctdAyv1EqxLkis4a6qmPpCxaRgHmQt7+FM2pjgOV62bjY9wsxMV9AgkezY1Q8L
muHej4j4dJSqWzX2lG2F3lyKRJePQz6KQ++32lZp7XRd4IbYiWzO2G01sUEuW6FgKLUrR02wmBli
wBkydHeGLflDCEC/tCdQ4AV+QxjuY6Nd+TRvvSJGCB4UbXjw467/4UraEx2OzmZp+Zzr7I70JyWa
Xvvc8r+EJbXlFaLX6dHqAfjRLdBe63q2HpuNkL8UQEXhkiBG+YRtAX36YElx6AgvQhnGDYYmdFWM
AAYWmZwblqNprbLSl5eUaQxJyQCFos9OkioKUigCsaRNykSsXMeBeJUNa1Q/yvZnPA2PYtJfXSpT
Xwed45RoleiLJAJyp2LHTxZ1yDcs78UrLrvaXYQ9LrC4Is0pBqJFRiKogKdW5c/LBn5HPNjJPnPN
5imavzqopuyLjKCtqzLr/bWB4BC4UD8fwVDfBTh+V25d1ij8HBUWvT5RxSG4eOkiVFs7w6jG0PGd
YG+OQvcI6WIAfbKWVRXLbZ85CQiUuLuH79zeS44TywnJFRODfsIhDWiBo2JK9rjNKOUrRbvuaK3d
OC63EzcCwIWsLvWVzkbtWvao63exbmVQc9EpLQb6IP6yrX3tjsij4DAGkXof520yQFUBZgEzGZxR
EKhbTdT+d586GMUyXfGv9d4t/CXgA7ud82xIdfd9cTMChFuR/20tqS6K/VjW1WWl2NqdhhN8ZxFD
eusrhrLFcW3c2uSyXvbCRNtVTQeirRv6TWanem1YWfquqiUdm3bgPJigtP8u6Qot3LIv5MJQWmVb
AM/6JeLE+aUEvlw2dEwuaiq830MMmGs8goAosLKrtFKku/ALd74fPufvlTYNP9Oq4U423ZCuYT6p
nkaX0yPYVr9Mg0A8qNTu1/7ocKiBEKZtHazmWxON6RdH9zvilszwoGZ49zFeptZKtAOSMuTbxiIj
n+GHllD8Ipgzu26NoX+psdJc5W3g3sCcNR5SF+zgokHzBX2ASPteJ0fd6GAMBGXt3MZRnb+Modkf
6hGM+hCH8npAS3+pDTh7KUeZFwnplVutMgG/j9K6L4kKWhH9ONEKVZxuaaoEHiwq6o0YdHVfHmoS
7LHbq35CSLBlmSsgKAW5br36S0SWBNuQFuF9VXfxT3OyGk/rWIQwrDRbpoa5GtB10P4vm60sCBRe
NWXUrNjCEnijiuoi7S1a2WFRhQ+TnnE+RRvNn2n6oUVapI0e3s6nPb82eNDBwe5HyCQXZqyPy9SE
sbgEyohOzsxid4flE901FTPIegHxBfjMNtIaCk6dc75cmEQU1Cx0iksHdv+GI4lc0yWsd0qtplxG
BfOAmBVlbfutT9AZisdlB/sWOQXaXvgqznCbg7f7zuFasox1CaZL4SA4xqIlWQW+oYKDXNXZtkej
qHu11XzawGMzL2CL5Nu+iKBwO0pcvjRJoX0nhgy+TepG/q/GbUE+N7TzCFhM9m//up6DPSDWDLnw
AKkF17Ld3/RTPNw0wNnWnZMAVGcOv4krQLZoAWLetyEj9L+k0EJnWraj7jYLI5Xq9ySRzTNuvGbV
mdQsF6I2lPUb6h3gQrzUoXPciXzwv8YiLJ66KMu2b0B7MsD9dTRp6tyko6JUqbD0hzbZW0X7AlNH
7hzbchKirpDcOn6C3x9GAYtn3V27UuX2vXHLa82NrqyEnCpNQai5GLVi8ArFHXUMMwBManqoqEyd
LttTu4ZbjDxctiscwOwY85IfrA5YbpH0Wvfa0KhfZNNNh0g0PLpyhombpQNQuZ/RRlPZMizlA9z0
Ez5irW47tN0gxsvI6nt4NDx6xwA+XNgwu9vUCH+6Gv92ksZU32vLvPCpCW8DC2Ur+XLo/DEnOluO
vvXOKJXkqXcJs8sJOrifQdFrcw4YcAhq2gZYF8Fz8rFrXALQlBgURg9gcG1ooIgLtyFZx6cYY9Sj
eCH5PF3nJRMcoVKyn5jRS1sVlOKEmr+SO9yCSFKbhyYhuJ6JFNxaoRLcyLh1CWqHemaJxkWlX+Zb
h+L3F8npVyKL0jE+Qicalw2a863uK/BFJfzqSVG71y73lcfMLn2C8GSsrRzF+uc5JXLwf40qP3YQ
Rr9RRaldm1GqPARUa25pBI97XE8tuKMh+pq3jXNwi27YKGprPhvtKJ67WhHPsVmO13yprE1Yhcpq
xBuxUkoRepxAiqspUOq7AqfCWq9zWGqJMVy/3XVpgs+CzeDA+6C5n+cFH74mvsACoi2qAiR03qJK
KZiIm4GO84Vdhfk6d7FyZKM00NpkuChqVfAS2+64b/UxvfEdLdhp5HklZMEQzjA52nRwFeGwr3CI
Lqbdeg2v0V9nqQ0ijiI9HWgzT25UmAg7axysL65PBp8Ec23ShOdjSNQTj3+qgBI0gDhn4RJEMddA
0j4mIUugpt2FSvS9TkaCFcJq3IGVyG9suF3olU1auzM960klksrEA0MjZKLItrE1QI4pzQoUSXZ8
Q9OdICtDT/aizcyLuIdvr9m9svbrciAOuuHTbUNX2dpVoRiY9zI7WenYUEHRwXxZ823qdm5NuRs2
T1Ne9RKN/RKyffHQFkO+aVlw2APlNtmaQpekAwPdqFtYXwHm96ux18p95Vv9xtA1FPbYQpSH5i1D
B5UYO2ZBry/tWDbUABTEAultTOhjRGnb6SoDu+iM/Nfy9EltmU5ZCWrRcCPtuxqAXxQZ6Z8w62C5
uw75C0NEPIkiGhqHAFzWkWbqGAv76VAntr23ejGuHTnWtE5Q6KNY7sqKXEKLwCvZFax0ORnjB9Ua
eOcVA2bv0uf/PAg8T3LhklR52UqFGj//6m1sIAZE0VX5XoOYaBupxrQjbQz7Iura+Ypu7HDQl2jK
Q+BtERz9Nsru9SEhqdyJ8/VUhspWmgUGY8Mc9W9jPjpYlvLqnootSuckUi4Cv7tty9FeoAAgIz5W
Xp1K2htN5F/IMtEQrIz+JZcBpE7FtQ/Iqqk3hN706wIO0Nb3o26Rsy+5QK1St/TvVHvNDjHclxPW
LhmOt2AeiyUOlOyHnSs/msm8GfTG2OgDnEL2bRUFU8QPIH0f+iKclrWjBB6rFX4jkgw0FatM4FNZ
cRPnC0SIeiljo8Cl2kALcPq5RWzUcqU6UtnlZonK0C653ryEpLNoKXGwYudXQ4lEOQ8DwkmCfG1F
Ke6wwujaLfrz8FvQdqaXDBqoxLFFuo8Jr7gvCZgCUR+olLszPbwIY6u8zfOk/KLAklnwVc++NkrZ
/ig727q3tZros9SB/tV244Styk1g7oetR9o7wbDIucWtcOrpFnxXfQ/dM1l3WWvjnh3qbGVNlrWm
PE3TGuraNkWgt+mqhPqfmkZ7gmZHePKShBhIUhcoy6FkJKnp1qu+CIy+3DjtkCQXTf6d7b32lVwp
50pzUWgtax0balfFSDj0ou1v/WksdnIM3S0x9M1GOi2vYoaxEkyLEhJKV/MUV4TtfRehqCCi0Mm8
EZqMD7lJoHcbjfVXq2Z/BTQr1K9Hx5Vfyae196j582e4iHNQO333J3X+QlpaVmK0dkKAiHl7EUaO
uAqzRj4TpWrC6qn6PV3+7gJfV/IDLiuclVDj4Rat9G87u8x+Zg09Y3y84gVXc0GOIjG4ey3RxWUt
KX5Z4JMM5EC54KzbiHY9Ar99NHI7Wye+qSWzYi28LpTxNels54te2JCN3ckBZA7l12zSeBl32bhg
jzfxKSQhpl20KJVW1lizksVp7MUlOMsSGB+Pl6/tfuRUAVbYAKupgVNsymnVRNmDkkZo/mSFThfz
DlViiBbuyKFYK59rIzZWiZVSOFSFXZFfys4Y0qCFXCXJiks5pfqurn22UgRMjH5AHGNSOi3ujwbm
s8dxyVJeSW9Hv9fTutNay3mSCkJNzp3OllNMDxov8h9TQ5GXfBTTW7aK8cugGcVjXMGeKttysLel
Yo7aIvKrKCFSdpYNIfXD1abI/CCQ/efLBi/Qt6S2ECm3dR/vO719DXqnX7TUki8H18kvDHa2P/IS
eRCk8mZlKcn1VHQgRBtDSbcygePZ86guwSHTQ3KrUl4L3QmuYzZDi1ikcYPF26yu6sDylw2EuTve
/580AOnj8k2DYU3Q4sLwJQa8omlvE5UigwjS8Ak6usGHy9bW8IH9AybE4ruhwL6Jm/6bGIf7Cfm1
2NgWhmCFEs42hgu+laViLHnV0nvHtYGBh2FV35lqiuXYtxrM9K26mboO4x4znuCVQmzD0LIv9QTl
5wJTjL0LEUp5iAaD70RmA9FmJUQQpZCtHAz2A0cdvieBm32bvTurMnCfxYD9US1x1vCn6EjYKnkv
IgH7z6lvOurJ34PJxy4/4/a4b2N85bpTv8XCzh2j6bglWxpnl+JyUwzffra7UDxEHQb6uI14YWuX
ZM6cPdUYWu7GVEwIT6F+yxnkiQU5uRnKydpXFfAl2UtrXaa5/1K4ybRM697xoBnH1xYaYYia+K0X
OqYdb2jMCkRin9/lUxOww1UOcFblDnx8dvAjxbq1KzUg4NrSr3FcG7+0gDZ0EfdAINsIew3qiJvc
HMLL1Ezga5Sxi996nBDAfI3xW/vQVrcZy+26K/H6wT9SD8CvLdr6ZbssZFJsRyJK7yUrLg19kBAu
lNZtnbYPQYvkb7BVa2/MhE7Z199CN7e9GOMpiDE57FlIFQ8HUXfJVs7e92TPXDdBlbD/LfJfrYxB
M6ay/G5UMQQuB44FR4AqTL4XahyrcA9a/8KBGr6iWkIIALC4h1ZXhnGJBcZ0r6O0xjpW5BU2NqPG
Ur2p8mHiaBbW7nU+1ulDnoGZhrPtbsOoCVYlJawHS29ehwGwhjqxVakro96rU//DNjk1mKkOVc40
OSRR1aSdmsS7LHK1WQrjKYQ973n/Tfrv1lMWsDcWPhocdoXpinLHj4b8shU6xpmpwfd17KE7DdaL
zRFkiKdLs1YP7KEAwduUiZTW0X4IN+0vRGEaa6siToS89fom8DWvg4X8K7QM89ZUFf3QDO6vahDK
U8Cr90iWUh2uzKYAbuHWw4weQo6h4FPfqu7QrvUIHAjWTBSfORWAzwuhp3oQswHHFWQ1Orp9VPC1
hlTHS+RQVBbU7zqFYlxUFszJast5PDvTGDhVLVdhhdHlQeD2IfXChmXCPsmmWl5QLVcb/hJl9rBO
gzJdfX5hp4bSdAPxsKmbJkvf+/Ku2ljYZgcK833oBA9DjEkfHKB2pUqEOZ8Pdap9BNEGqR18AkY8
uod4JtURO1ftAfRvL5NUzt5L2jc+k3dRwSvc0pj/d7o5ukbIHHU4U/8A0jIjX9MVdPB/Nx5wEvKV
rinZcSY910k5khK+deZ4oWlS2TQ5PuCxEhb/qSyV2stG8nwWqY/jTqmcGPguFU30stVt+dbiSafw
qgWreub+nmp86NiNhIs0kobwUaV+DEQZqgl4LiejOcCmi0JG1T9+/hA/vghgjnA8kRxCbBWtq/fz
RZglKsaC/MFAQ4cjCbRfommoLlMlrnbQg/Iz8/PjRTEeDiosdqau2cfduGrGDo+lUXlZjhtRWOMB
Xbl95u3++BIY9NDRb1Nt0Y0PeDA30CTS8LSC7o+IuylhWxRlhwme8uLnt+/ESFzEjE+zNNNAv/r+
9kEfiKZxdAqPZmfOOtJcYDJ6KOv46fNxTjwmzRbYE3lWLFhvxrDfmmAgMBLDre0CHKm6rtMXxUmx
l5KuQFzf5yPpH6c9YT+/DXW0gnBstPyMQGevBRmKU1UEM0D1b0MJ+Igunx5HxF1bLHE+aQhoG1dq
XflfSbNV1nLSYebTkNnqDSfbDC80ngIxJXsTTvReGnjXAsJprvyUrRmcFgPpFQVctjpyneo4nPZ2
RzpbX7QUlaCFE/BCEWDRW9F05kKPs9p4v3mpKLWDFIMgaB63v9GqKYabt9zTJpTPbpar15jd7zDf
Ri/Z1KKrmWHsdUr04ZAEGxuzE20ka2dZaPxMmiVaVSZLvX3M4JcspQWQpsjuwKiT9spZLyuSCjhp
TwkgQvbq17Ghz7Fe6Hs6VIxKrLTLQRTCo90EFlI6Ooj3JF5xqrYvE4GWIYbfgSeA0G436JeTHQxY
YQCjcrd0ksfhKqjfbbLAz3ytTsw1mrsaCg662HyF53X/t7nmZ12FHmHkvsSoODvNNXY89cELcGrD
d/KN3vt8yn2UQADQAUBoCpfkKbTj7wesCkiS0E9gbjlS7CiBkHGKEeoSooXc+g5Um5BqyIOI3ODi
85FPvL4ssCqZmWhxPm4D6mDslLC1co+T5/ilQ871raIE+2BqVvz6+VAnLpKeK6sRxw/+d7ya06pg
Czi2uZd1NYXKTqOuTnEWs1ec1zuLlFln2dDzGhe9Th3t88FPXCdKC2TxqsnHmtbv+zsMZqTlJJjn
HkzcaFv1JNYNAd3XeKzPfLQ+jiTmRUqzURgh6z+2OHMsawJkpKlH2tjzOMLC1Z0B4W1qGH88TREg
IJhCGMWGQLWOrqmcKUdB16a0+oDBTxa1ECO+6XvT2nAW/PmnN1CosGFRPAiyonDfvr+BQZSWuQAK
79HpNjylHPOCsj5l1iY1kubMPfz4AjIYYgfEAiY9pmO6ZUW7NrTajCtTxENoKM/V5PyMB+Mh6K0z
qoSPeziGYqdocWms+ebRdSErj8Cw0BuF/L82KF+4Bem6dtpN8CG6PZWDc7uq0yO6iFPcWQA3Ixx/
X10U/ANOMY9Yad0+ccuXYgSxO9OogByQHN7ql3/+6JDiYAFl18GI893+bTkzG5RI0rcTT2nbPdAX
T4gEjb56ZpiPGxsB3oDdmoHNmJs5//PfhukcdYgi/mgPm4QCWywXu3Lgi/j5xXxcRRhFw0vDyoww
+RhLOSj6gBBeS7za4JDJ4WuZxu0vO7cOkHDpceHMxn58ZpXUNX77e80Io7Jw2CZsTVbLo1cNWbR0
EYIlnmsSItqTqce3rgRGPLg0zqacvlIzzrG0SkHAwxL+RkklWrW3cqiCXUprZ4Nb4GEazerObZOE
/CHSbN62BQBczAuUKtajq/eWF8jGPPPrTz6Y2XZEfZ58w+MHQ5cwTCk2ph4Fo3wdjySBKwOlh88f
zKl1z0RXySkPD8KHLWcmKj4jQZF6cKNT8G+dpyZkedjy3K7l1KPA74eq0rKwVB09CqJrjbyschYi
LDL0lv1wN1jqsPn8ak6tQBZbAEd3qGFz795P5ilW9SFolYR+PvE1OGPmPjWxqCTQfO9i8ee7aA5Y
yET5ZEAkxAn2fjhHRlaHBiLhUOf/nO9dHVmHrPafP7+qUy8P4BbLRpLLweB4GgO3zqHv8PKkkenc
JnOckeabP6l/Fps6MJ0ffVrG4EOt5syn6tSahyJWsK92Txx6qGaoKLu7xAsC/UbmyssUE7gcP5Xx
dM+LeGa0UxOeY4/OZEdr9uHcStgPqq6ySTxyVpItEYz2odfjswzmU3OEm0hUt9AMZM5H66rb6kNL
rk/iOW2vPkFxLTaYkZCIEOacUi63+8dYcwoiEGR3U415cm2mtrENHWRW01gSex8gz9cqCHNp79Ai
bUkDOPMl1U7eeUDF85tpmOx/3s+sGniX2WcZX5tBULmT1YsmZ/SY4TS7yHaeMUeVcGpD6oo5ScJJ
35HjS/JASJMVw5fE6A2VD12pC9pMAaITch2fz8oT95E2E1tQ2zaIfDj+IKY2vyEa2G4TzPGznDS5
UUv0TX5KS3nEpvmZZPrE7dDeZH/mXDth1/3+dujaqKrCkWztfe2nigRxlZnqSzNiX7DhM2CgsOSZ
HcaJlw5PsGaxo+GL9aHS1tXpONRBweXF5pcwCpSlTiOd0mI9LQxCCh+ruq9WNEg778+vVdPQNaNx
ZIN4vFIKjEBR7TSFx1ntusLsRqEoPVAgw9uZBE8jBIAzs+3Uk2TLRhlA1zj9iqNljHell40gEltR
g2oJaYJGYW7IQ1+5mZdZHKQ/v8IT3xwukD3UDIVhs3j0BmZ+TRgSpFFv6AKKiYJgGrUqqpWBSO3f
GYpcWWJX2DC+GXh/392U2PdllnNE09wivzXTCliXLa2LqNW0M8vXqTlKjC3TEx8vxbejOdqhUslh
F3NWydqHNixeTRMcVcPzi4Lq4LS4a/78NpKTrOsmVGx2iEePTRsof+vNlHvTnCGv2v1dDQ2xpA5w
ZqATCzMie5WAZbTo2Djm5/nbFrGcekQZPkdA8MHPwTBsnal6OHMtBn/G0Vbt3RhHcwIqWBILgMge
GlttIaIIDrLZmHd6a/mQc3po0IEKSayvyxUJjcFj0dc2/XvaJ60D4rTXWmVd5xHNF5Js1oqhaeve
GVMvMmS9x2EXHnQXQ28+dv5Xv1Tzbdagl+B0Oy5Rpvm70CRpaFKH4dbUauRzmCG1u8nN0D/kGgEi
RdbUW9KSfRg5qLluYuiqG/RgWJ2TqL4JBzvcanUz7lIT1VRnhNlVB4DTI8fzISqSZskdnoNgUVIv
iPUrPfRCRAr3U7n229BEv5f0pPUa0bKP4HF+fntPzU2+4rbGPDFwLhzNTatqMJNZzE2Uey/VIF+A
x94IQ9kYWbH2lf5cyMWpN5w9N5s9BP1YRI7GM8Mxh3wz5p6swrnmdA1DYdfL/Mzm9WPJT1ArpdZM
LZMynXs0jBiSEDici91WTQ5lGdXIeJwfVfJIX+iKHvGyNfVvQZ2fOTIdm/WpwM3jUqXljnK4Pt6Q
uWVWZWCGqIkU4/QlxHO7cGqhHNCeq+maNjZnnMrM/LVMumqV5uh2AISwkFfgVk2Et2bcKztDbZWN
JkW+9NFqMeHKLS0Imkpu/N3UCCztB9Q5xBkGK1CK8Ko6e1oFmn+vJ6JZOpOJ4VbGJFxKrOvrmN9D
SEv5igxbu8W9Dztm6KsNji7+fjaRFdXIeG0rtv5UEYB65lGceuIWLj/bhaDAA5kf1W9rRKQ2ZpYn
OJ9V+TLiHVqMvbpNNNktPp/Jp9ai38Y53hh1ZYep3e1zzzFTdUkIWbvMwnD9+SCnPoiWYXNa1Q3E
+jMY7feLUSudcFNR5x42FGc5km/CYfy5SEJkrs14xnR2crCZicbGF3fb8SHCqlmM8pR3RQmtjJPo
tO1EuUGUhbxRRmdu36mFgAwKKhizZe/D5jcdR8OKETZ4dVwf9MaGZuKPz0Vav8qINmJonbmT2ql5
MbehOMDS1SO15f2tnBryjmcSvxcPaYjxQtf2zgQ+XacWvyoMJfREWcnlULrGXaT60MYDdMZBEWH0
DZxkA4h+fLRR6aOY9gMxnbkfJ38eCyJlJOq3GNre/zyQYKQ3h2xz+qp8NdzgKdS7+9Sgtfv5jDo5
jk2CHTtKa3axvB+nAXUZlkhkPE6iJdUc+ZKPClGQbX3mQ3pq20pxij6qOv/FPnoPjd5FVI0cypPI
uMMG1VmfH+rC3BMTcZMW1UOWumcKFacm8G9DHm9Y40mkyGbUzFP6YRu0xSuxNuhNrX1dnANRGqfm
LydSmmRsHzkLH52LgI0C1RrsjGVGH7/JsPxF9iB8BUL9lpRvg6VSKtEyY0VeR9Us/1W0WSxVo8Nx
yZ0TFFWe/cppvFZHRIzRBOl/KOt7GB7FyiFFdgk6y9kMdu88OSarJjiTBg2D0gxk586lzUL/pfYE
BdhkbIL7/xaDBqY7Tl4TW77I6fpFNhrRGmyXfl+ig+Rjr5tnZtOpu+DOTl1KHMzbY0sWMfcN5I2S
nV857SY5aQupimezNC+omYJYGfszA556xLNZgt61TbH1+LaX5KiMFZshL6pcyABlS1gb0A5osiSe
w7eaZaKfvzAnLpHv+uw2drHFfDhdutbowB4wUi9xA7EO69GCw88ObYyL5jmuCQZGFfT98zHfHJxH
m1Aa54T36LyiHG2PZlcAXZDObJp5Vja5y7BvrXsRkqCYG6N5ERZp+lTqmQMKAQHVm2rYCaGTZe0k
1xJlz1bpAcmcufUfMqPYbOBTpOozr9qQgfT3S0cwmFMJ846lY/JRl5G1u0EjZmwav27AqFvGgpmC
mMlM125Qh6DOmgQxtPiHOvUv/ajGiTVs9oVj0AShRKPt6IeomCWtTEYZvuXYoDUyS40jI50OyB1z
84LHZe8IdjQvcD0AGE8pImsKrLEFDPrutjd6dTOOvvolFGy8dTmpX9gW51CWmVKYGGCjDC4xIW34
OqKPZMnu1sKKwzXyPUG4Yi49Ikft9RC29soJLkiANu5JMhpueG3xhcBcm55Dp3X3qWp/VedEgM+n
x6nrpwOGB92eO/THhSPKbQQxSIPrT5PhPkQp4g3WED1HmhJu/nwotJBoDXCj89k4+mrSdKqqbP4s
uQXYkrJyZoPNUCZ7N0yD58/Hentux7N+rv4anF75DB4f/3PFSomjjTgcELBHAisNY/wXE0E50Oi7
VW6n2oVWqP6tHOAM67oSHIj8dZfA2sptmav131vJP8I3/M/YDP8DyMO/IqD9H8Q36JxJWQb/uy42
A9T+AaPNELf//x/Xr/3/27/Wzev4O8Phn//sH4aDbfxFScCy2W+xfCJvYhb/F8PB/Is2CG0e1ANw
rN+TgDkVEkmHbG8u583z7b9IwM5f7Oj5xPBPVDEXxP6E4UCTmtXqP9k7kx65ja5L/5VG72kwgvOi
N8mcs6pUs0raECVb4jwEZ8av74ey3S2V/Eqfe9fABwOGAKmKmZzixr3nPOfbmy1g2OSthAX2APh4
3xYLUmEZsQanPQYjkYIhwKd+t8Q1ORFJNDqXGUnG+BA7GAlqk5Sa05hW/V3SGGN5yNF75wBHRl4p
BNXisyFthagp8IWymXGlAp8ErDp25sHLEWjEgcIsSXDHTZyLxNqSbhE9zrJyXtxqfC0E+Bp+1SNb
eucBoaW+69rgsV6NVAVDIntTEzBKgq8AroJUWV8PmBXZ6FFI3ZMjYG36pjdfglyQFWwY4CqrasrP
XTv2u3o1M7kNP/jVN8SiOt+UM4BUYWAtiTTlQ9kZwZcOjam5AcSKUnksdXuKx2y1dc1582qNot+R
FxGE2maW8fVE5ZpswHXd4/qnoWF0/PREu+7k5K32D0x36BFnWI40zZTQw5WbwfOfOvyfVYMvxS2D
Mng/ZloR5lT4JkrKXl+7DbYm+q7wVWG74O3v2tNoMDXRwqdIIiVt2XdpH9CYqHnvJ33QOmuHBj3y
hG2DrYQ/lFvZxMaHYbCcBx/sVwk9zBJX9DED8zA5AmtcXngEG8aDeIFghMMrn01+W1Em8zu/KYwv
moUgnCHUnclaT/4wim6+aZAkHL5+vm79VNzZ6Awy/n+SRc/F+JowzDa9wurUYg4aBoI7ap/s27Tm
JH912VV6ZFH2+lRexT4acQTVPXnPVy55SskxKkSuj27Xt9Y+cbycqFW9GimySBNlZ9RYuuz6NLZ2
T452Ng77Po3lC2mtdP5Fs+Do5VZZQ2VL7gV8DudswHDG0dOQxDEn3ZHT7jwA0CqeWyRKD0nTLi+q
Sborv7KCx0yP/j6xZOtuFeER5wp30SVSdvKedoCFs5DCw2i42L6bIRTPeycNx5ovmWkQTY6WLKCO
Gdib3FH9tHGDngScDFyprqbl4K/esqKQ1pfJxQ+Bi6Is642AwQ1+VCI93weZ2Se4t2p+FzraZu/W
rpwk7/aRK0x6WO1lJJHm3X1UBst1qieiTQBjo1Q2o+vSLdM5HGm6HBhPiH1bJNZzMfhMb/zZqDe5
mwQFuUgpEL1cmN0DQM0XctKHK9r37zFjLlm4jApBfDZoQ+/GvLguY8zWIeg75BC+jkKa1k04IM09
xxGVEmHCiMW1LurbztXlXWdYLkPapbwlm0mAFKqCjcDvtyupY46aYNUdS54+M0mF35nLyQqnwrGe
Zjr/eE4XXP1RiyJ8mieczB2hK5Ws0jH0pijfV/0472TdrzGdUabDYeqMg2qs7noA1/1u9i3ibYzJ
ue2dWO7GZMSybHqdSc4cDMUMo2hg4whT6JKn2fReRm2k15EQ8e9Lm2Wfq74+tQuXXjdggPG1unSB
BIEYG4B3pGCZ/MyrVgEPvZG1c3UkDFY9qICsit00imQ3oDhPN0C09dPsLCZZgCB/R4uQdW029bPh
OstBKs+UO4tM+h6MXGMau2rRgjDdore3MqmIEB4qh+BeXhRiM4CT246uu1wmFv+7ZNbd+4Dvb53s
SGOXR+20uhs0+Okhysi2WVyghgj2czz6FQMSUi2GIdSJV4vQq5o2bAuZPLoejOlwLmjUSsLVL2Of
5SQit0QFmvjRCWRh8BcSMTAfEpPwJCQqr7U21a5NF3mqI+Xd1MtgPOY5+Q6bAYrDmpmXkSJZIWAP
NS2F29bP87NXjf6W3GB9J10g57SKh+jD1zeLyvvoSzCX+bkAFovRDhfin08RGdXOwww49rnFbo91
w+S1OpJSxltjYYVpa7c6zDGvZ4CJ0uZxmOS9cNYDEZI9byvZ8UngDevryZywtyWTEVQ3rPbLTddi
8d3WNTuEbqj0detj+P5aA/yrcum/UAj91yqq/5/KJWZk7FP/c7nEN2Yu91p9Vyz9+UN/xybI39jG
BGgfKHxWhitbmr+KJWCxgFUELKHAYetluzRS/qbC+r8xt6JSdtmDo0KiJPq7WiLNFS88ahoaxAjL
V07WvyBevZ0Cg9NCLw6sFhEukxfz7Y5DzQZmsKITl6qxx17xpuV9e2wdAsGjxKxoF9bJglOKwBZj
ekpntDtzQ6OppdvROK8ACSoptgAmILfRc3Y1sjnkYHZ2iaUywClEVQ7Kv+rYSX5zpm//LOi+zUzh
FHxb5pFbsGKL1t4ENSVd1PXvv2kH+90wFbSh2gtAmPleJJUROhMp98u4pmgaC5F8Pz+gtSZmvDkk
Cj6UCrgHfJer+WbPZJA62xhAWcFyB1d17+EXLUaGjwfmSrEy4bAY6ihas/kQMNhUczjYo2cfIfmP
0d6JcdidIi9drecjukMwA9GgDxL6wK1fpZ61q6sBAB8t8MdCotM+2FFVXzCmoIeMU4qMjchZSUiH
UqUOYZhXhM5PFefawOZ6X6ylGy8d5xUnfN1tMrXWQAFFb7xrvSgrt+Q0CYK2XKPzQ5crQjpu3w3D
ng7lcr24qXxshcVNMFmFA1KiTA8Ls2LEmD0e79ZnUQ69GLDjjo4Y0D2xfnKTlDS0zkksH4UAy7JJ
PZa4Df4y9cFIoEvE7sTHmIGvzIBLZPNBjhOGKLeWKnk3JyWfiBLEOrFkJPNTq1ZD4EYZhH3LLBEd
m3DW5xtGV56xd73FbV4ky0ly7tuO+y/uCh0aEm/PPQFs8pECSM7vG1/MxkdL9py5tEOivFn6emYp
bPyyZFHI+aEIC6PcFM3I3zYD7J0dNIYKoKdWJvRP/EnJbTSKjmgHNhQJVmSL74+y3HkFGxo9D4sb
PI9Dy48Hk8BKqlDmMCzgV5ud4iSli81VcO2+714Skm2bo63NstxxHq0hdFKL05IaBcH3s0Mm+MOi
qeHCcTUHXGgWFslZr5fEW08OC3zO9cN4dwmUsYhtWvQGqHPUwdckI+s7wzcTWDIzDy/tG+FvFeAV
VoR24SEsAsGnbBnCe1vy+IqdHXnxtnCUYF8zzcsj2fA92NYAvE6ZYQUHIzHUr3HWO9fLErvPxuiJ
G9ad4hZ/P0kfk51CZShsP0xl5b1WcT6+bywzm/dCc8smE7ny4zT2fphkaExCShWwAHJ2nXmH2yeg
blBdfydTbbhbZ/S4bbDgcXqnlOy6d2Y/E0AMlNQALVoOyhL4g20fsBIpHrYhf5/KmWuXWo09fVky
InQ/8Mcy+8I4ar5PS1M8Zi4dm7COuUc6WckhTOpAPJKDyeWBA6rYUEUT1zaHDFzuNCygD5wZHi7i
AHkoyT8j660zjaZ76UgDuMfCyINgaI8TnMpGuoccM+LFkZq4tmju2iMbqzrfZ5GcYWM7CsYMQOMr
C9QNWM564CguGnaNrop92W6e2cGE4AhLwl6hF1yqJJftY661YTxDU9Lqqgf/3t4u0HKjfbFYvH41
DNLgKbXNMr+Pxqw9zqXRqjAaLeukR3peG72UnMsWjkMazuaUIssJYk5EY5YtGxG/mPc2bxVM4oqh
Z/j1Rs5ngwsHZIPn2B3Xh6JvbX7LPFm8Q+FIy8d0MEgn84WfuC9z4Q/yXRYRIR36sSArxrMmcZO4
PgnQdDY5ppHH2QzJIW6zj61op7jZsOno/7BgRufvW94QAiZTpJ32XU0aJUjVOTbghHsF3IedZL+L
2IDb6dwpspkZObbiJuu1Nb/3h0jlnx2vkpIQhUXFQBnMUcp3JeuPVhs54PI+RZX0YaGAtTbNUyIJ
Q1j32ECRDCb8H1Mqzk2axv5NRSPuxRmHaAVGPHhIRaZQlPXwtNSLsYOEkmy5MQjdHQgxtQpyGq3V
5bkpU3rwTHwWwF5e6RwBA7nrZJ2Y2vR9nNhDt7cbx62IZmuWiOyJpj41jW8+d04jQ6s0PxpEmJMb
g4kCwimIhWSa/SPu6vhT0UXe5znGVQWzuXqHm/BqmFq17PKine/AA8YfHWusdiWL1LYGanDvq6j6
KOyk3MvKjCM0piVOut5rb4OYbobX5LAWQEIV12kTF08y6yCNm12/10YPe2+ckSzAgMAVPzXvxkKX
V449DruB8IQ7XuvNxywYkofRLm4nz5yzQ6vw+qoFS6aZ1dVhTOv0Ie7c4gk9WBfv276qrlC8CmjS
Sp8LI8j3WKzY6ampggfhebz2Rqt+ZNFpXiqnbJJtprtq76dm/T5x2aEIlp4AKqZDCIqLCOymcWea
LelIFAXW5y/wYFtC52Aay1UuCARL3oBH8OxtYjoVpnIY6tW2a+V4UV1ZkwutFkxBhUW0ENyGfeyI
uyyqm4NJp3eLxbR5yfK2mVilRvdUEXI67pbSG24Ucc8PQZO4B4NAG/y+DIJwp2ifNrPr3hhJry68
sJcj89XlNBkiYFaST7ula8ElSHsI1bBkR7ZA7uOYjvoP0yyyC3lY+tJWLRvXn1cobzpflER01viP
kAE0QvS/vi+JVF1aPjgxeDZ90x7zKkJMNlksQuS0MlMwx/oS8ZT/omm9Vj3f9Nu+HnVtIiOHxfOI
jPP7o7JrS7xkcoKzKniLpsihVNj0khrj59/uTXP863HQVCK6pdqTqPG+P86YAA7ugjg62/laYXhm
yzubbL8Pzhzxwvj3B6MlKTidCOR+6FgLnmEjpgg8kylO+kyd2KcOEX5opGTa/vxQPxayPpRRzht9
f8Yvb30hKg68BtYQJmt3ETfVQOntMGMNsUvXl24dAv7r4wn2IYLbBO8m8RLfn0eEpzy2RelAT0mi
5z+XoAo7JXCkqqMa6VLIlb84nW9mxlw7vtw6L8YSy8V7W6wvhFfT0+vJHIXERWiCYVL88EJlBa5m
iF6blRhshUY58mfTyFg+fv6lf7xJfQfsKDPrle+I6eH7L11XNqy9InfPw5DiAJ4M6zSL6Vd2gH88
CqObAP25I9mZfH+UgpTEKko79xyzbT8uaZUePP+Xo9J/OgobSh8LUYCP6O1j7vaWVI7BdwlURzMh
9YoQyfv/w20CntliMMpuh+3mmzOW0yxMAcg4Zxm16RryzE0xLoSe75aoFzd9M4/6F1u6H99fvNN5
h/G1EDhy2O9PH02xaJkK1z4Ta+C+iAFioTZHSpEBQc6u8heiR91Oc4v8/Ob48c3CHCygW8K3ZSD2
9qtir0hN3cATygee7qjmPdm7NF905vq/EHb9w1fk5mC0Rw3O/Pfty9KD1sqhSnmeYZ6E2KTqi+76
5gNpcLyx1x3cvN41//77IYHxkT8i0f/BojWaBIonAK/PhQvdtCpt61SYfnJgo/PLJ31tTbxZDgK6
EwgHbC/wVnTz9xexTvzWN3mfnHXbBT7dxtJBVOmZxX0z6vamzgpCWKKFMnmeqOsmaq3uZlTjHO1t
o7PZXNTOK4Sj7g/EJRZVp66K5NbP3eZXboB/+qS0PggJIDKSBs36nH3TQahSZ0oXI+IOL0nLCdMo
bT5kNJU7qL0Y7DZZQFn/8yvxle/9/WK5OjmoK+H1Yi1/a7mKC/olEWvc2fANal36u+wfYCD3BFkI
lsykidb7PUvFjRoK9WEcYYVtrTSY71UnVQGgZNBqT5WUHnryRZLtzz/gP50T3pRfabxcu7cyDFOR
oDL6PPWl9im6TSf7KGLDOmPmq4i1Ueav2jg/PHvkf65PA60cblGMdt9fBJV2a9EPuGm0I1hDZrbG
WqqK23QmCvrflhAcjL4RlkgMYj9SqH0tA/TncN9mNMa3WQVNzex8djmO2bBL+vmp/OE1vR5s1XGu
+n5eZ2/qojI3BAHe5gK2z2FjSRgbdxYPIrvEnx/orQlNojy33LV4cPhyqNDf3MiACdOZWeBEBdEm
3a3JHo6ANr/rkami9usuTTbSCbFj279KpoSE0aLxrHajinUZrNV8n6Q5fQJjYrPEYEQ3H7TXtkfT
cGll0fWy9iZmTrbnZHLqw1eaaF/VAXmUP/8mP94Mq9UJsTnrGraUt6VQCiat8cquO0u9+NsJB/ql
nJL0EJvg+H9+qB9udFxV3AM2fn5aej94IPrYlIxekvbcQvE+kdPC98chEOzwEdaXFXH5q/7hunp9
8+hDQOB9CM6e/wvH/OEqVbqEudY69tnFcfMZ18t4bu0oeP7aEHE9mOgg9AvnqZ5n+YsFQL69RchV
Xk3OLvFAxPdSCa3i+G/edXYR9amN7PssBJ0kvTUz30XYvoBjJ0IEkaL/yRV5bm9J1RbdTcC8/Ajz
LU6Psl+qaAMZZ7k3h5Iuos7Xfo0CucDGYmj5s/a4j9rS7chZ5/ffeoQoVPwmAL/HAGhbRuMSHOyd
k3X6GWEVy53BYnBY+haC4NjCfd1It0MXP820xroop++X0ziKNqkayW71mYfk15By8nZriry8m+g2
3JCJbhxm8LK3GGUNfYAxlm/oYhOXbnpKmgC5MhO0Frk5AJfttrnqc9tjaFTgN9jWyM3YQOv0DAtK
hPZYOOB/B5EQx7oZFOBzet/mONWvls6IIttAKqZ5NJAqK/6YGAXRFDcynpdgbtZm6BLnye24zPzZ
M5SuTy74P+RTLXDBIyY+dkWVgj+/08r7q/gc84jOS1CsdY1qeNaSqnCWL3TLUwKKBXx+EGuoz/MT
IIj5vgHgmNyipy+AfMVq7O86q+OCkJ7I012LssnvGWmxXrRDL9QeWfl8n+MUv4pdt87vvUZ0f8yd
ybeYrMzRn5kADvZ1q8TaippgVW1mM+UH+erOqzPxcR+Iw7KDXS4z+2rkbI50NAZ6c2kO2nrvMvEn
DVQsdK56ndAI98vFtXajFfEbmYNH4pOerOpEutFgPMygbXWocoJ3t4FZ2bRwksLq5LtqGp3+XqSA
8bY5t0tyy36V7CqxeIyUUT7Yp3FsO+CVQz8aoW6qBlCcXI0UhO0256oa2UhIb0q9K3uMBIlxAMAj
1lXSuG7qtqCn5QMU0IcZ0ZrcwAikyxgP5tw+isppiwOka24w5H9Atoy0ZW34WgfQs+fu0zHcIpRh
NX0z4XrWciEgYQaOBNJv/hL0Orr19Tjf/tmCc4qBD2Mls3i0M+m8pmgAIkZz3dQc/3yskAWsQ1ye
mcmzMv91HWoCFHRwewvgfumRbi+9ednbvMZb1+EuUr7LziwpHM6r7NaeuZV1w6clJRd1P6f04f8c
zcBHeY0cay0kYpvazq89+7UU2dqJbWnPbxqcX8cZfDD5Pevy57kDTcaE3pV35aB2YdJqpnO2hzhp
dpcyiHlMy8Zg0lAsNifWjkbb2meBjNM7Erb4IMKkdwLtW3YAzISaPw6zZxkjjR4nz+99MnaJuJoL
8ehmWWWvKPB0+ewbTDJ2ma+kfbeIhi5wslAbgzwRk1eyHjMGIOItoV3BvWIzzcl5gnvLe09hnhPG
4ZAGvKoX0rExsk0U6ZLevFE42bloO7r14JcmsaeDpn1aEpkdnUvza8wvHfLep0GmhzGb/lzx/3tO
+ot0eaqbtXj+z3NSnrE++R/b17zusWWiOiDP8/TH//qff/3gX7NSYjJZmRiFCsbh67rMQPSvWSk2
0N9W4wIz0VWtSOPi/85Kg9/A1Lirr4FyFekX6+5fyjLbIW2I8uv/5AaJfzMrZf/y3QqOIpXKna0b
HgMgA1h731R0xAY1nTt7pGsxzo31AeLc0kfbWpoosrtrCJjBrik9mLmj72RqQ26H/mCAbxehTMWx
4169ivjsu4W43T1655oQAt1d18RCJq01nH3FhMYuAvdSD5XxwELQQL+LjUuf+mLDiMN9GP1mfsqg
f7JI1ZlxEI0icL3LFBM9QOH8PrGXDH/I4CZiCBIjoBw+90wKRHwEc3/tkul5RrCCiEBFd5NW7+au
3tIGMzd22Yij6niuEMbTOS7cs7CjbTTkwTaJ1R+DI6btkNERL8c2C1urWq6jNmYe2JvbeTR/TwyE
FoyTIRCDYtgvptYHp1aMOiHWwq+r3gfLmO26ZpX3FCBj5/Zdmy/2jiKhf21lb+0Lr/TDxqF/aZUu
xy/hY3OmSNUl5Py4dEN678VJvS0FAu0ml2jG6iXaTE0zgkjI3rVLYIaqA65P/wK1CTP2jW0CBKA1
bJGIbDibaU29GOuiIw3Zu05EEK0d5/vALKcdOIxDUA5HJks5pkBJXmjASmQzZN7KyCR4IhMh5rNn
px+Rl/Trl2jyftsPVrQtliEOW8dwd8xIPpVdsLXmuTw3lUgvRPguoSVJK9Lenklys3c0FL8hdw0i
/DwPN5d7DKLgTKizGfq5bDYpDMdnlP71Bh+Xs+vqxt9YRC7uYbsFNO5LqNFIeR491FinTvjj1vOw
Y3WzIC2P7vq2m00bGKqDodyPD/MAk1dZrr0LRPaxmRuSWw3/RHXHmuJYajt07QQFPj4k1sCIQJG0
WRTMQTL1WHfusz/rq0xOHvB9194bhJjvhKmTA7TYV80+EcyGfcjINwFmPK20VwK/lQw+29rItvBF
nS33BHbVeeNO3BJ+G2PjzkDbxgh1JCr/MI/7cAS+HcJrJyO8d05KZuLjYmsR5m13mY38k17sGYG2
3+wy0iSPThWXoYazsTEK7oW0ytTWixuWaw2U1mYAHdJyV9tctC/ENJTb3IOniONiBLm6qIPwuYK1
FZC5jS5yH1nZUyvd+Boqarm3/E9x0JnsFmGrOo1rPFI+lMCe3cTeekWa3pdj7od098He58lyaNKg
fTSr2d+i3cjvNSKObdfpa7R/xZ78+GmHItDd6xzdkCMBNleziDe9NMzb1G31zsQAsqMNkGArJJ49
6S1GSF7mnoSEUMzIajxKGZ96Z5SXDqL61pBJ80RBxlkkE2crWcbJYgymLdZ+tTEd8G6dk5lPS2Sb
m94QLk+u0ntcLV4YDLg6Wp1XD7lhLbdRM5hn0XeTs6GDlbDZw7a0cxuf+XRfuqSeVPnOWvCp8lGH
Kw8kNP/QuKqo6g51zjTEzj+lI6yvrPKL06i8eDP4o7H1NOez0Z1DTnqRMbU1v8xRQqOLRs+ZbQCN
Frd/MP30RJyRi3eLAZHdOvdulKndZFr1Lglmii06g1vbnvuNVMHvQ1/cp6gLIjHcFhifmUWlpPCk
xmfYKcu+aJmw9N5VOvHvO5hrkwsSmEzRau/RbgjLlvTjJRq7TcLekGym9FXV8bSJff3QEWB79NbO
WJF7xmbyhz4UoPnAbtZy21aKWyp22+tFevuhlK+Bshqo7wi0xrJzHiIJ7br0gt2wGKToEm8y2+rz
2BFA6+klunGgnR3MQogzGbQMjAs57uCndUgUchKZg9I/Jpb5ri7kR3AbV+TMZKfOmZ/9ibmdl7p9
yDDYPQ009R4htb5HBDNtm8b77CYT2OgoJaQ+Lh6lGC6e3bc3jS/PKRFpBLDXxTXukw16+tsiiapt
ZCU+qabqS9sO5jYN7Gjj6KE+4JJOt5GzZDsFzvRqoWl5sOfWh70bEQebYVa0ko8BpozHxV6ONdT4
i3axFI9QC/a9X4zb2eeIldaPCpXnLdEEV5lgEZqNiFyZKeB5FnGxbweHUWXpPDQ5NZvbq/SyqO7E
xgf14GgZm7gf0GgkLC9EtLsfcEW8kDc0HL3F+6MegCUn8In3g+ynw1zNxj4mNyX0yjFgcDremjFY
X2Xb6wefrhsCWcLeQetZRvd1pusd6Lw9ATUoo127OInEeD8EIOqVMf9hpQ01djEMJ5+uJe+atKXv
HbnwXuf0nIz2hPGLt9zkGw41LTmsPiLYQ6otZx97E5T1orGA2DXiEHvZ+2lMnZM2/Mel7y5drtpN
Y8RfLAOmdlEV0d7wwOLZjSv2dAP8nbBL8+w3bAtr6N4bzVt137ptvcVvTt7qp8Ltqv6JSVtErCl7
Q7asxxmZjd2sYaV+PT330Vh6PIqgiDMaG9x9pf+OPlQwNRsvkfn6kNVZ6XTWUcka5hpzYvYlT9ZA
xrCbEyjddn68c0gvwDe/UZq0nnxD79K5t2yEry1yibnS1ZlMrs4Lwgx4skdUQVawi0M10LS6ba+/
1oz/XV7/qryGrEap+Z/L6+u0qj53b2vrP3/qbx1i8BtTHPryqA0teDtrAf23DtH7DbYKJbX/VWr4
VaL4tw4x+A2ixVqMrzZl6XxbW1u/rWxbB7c/7vuvLpB/o0MUci2ev2mP8SZkxgQfavXI4pUVbxrB
Fn6LEqe6ealMo07UQNCGa2xnUUWwSsXc7HLb6usNEbEEXc3QF0AqN70F6bnABVFqnpOGjIzrmbUu
qCl0Mv1+psi0n0VA83I7deJT7Mv4qZwHj7XUdd6Ptt1fA9fubzUOsQhFP0HvCB4N7zqe+MtwdOeg
ORhEZR/bPqsuXoZ7oZxJxWp765Mx2dFyQew1+8wvZX81ZoFdPVl5NHhXHeEfJoumOw0lhbW1ZoSt
2kjZkT3tIv8NMgyOSwefL++WrdWaVshaNHwABjMh5RrG0rjOrdRZW23AHPb5qvKnSmIptmRV5/jx
ovRJJAsYY+Rl5DekGeoF23W6P3CjqgfXHuSp8/rkIOeMOKpg2REgRUFgqhRyFaqZQyZTYues/NbN
EAge+SfW9eJlUbntZyslUccCJdHa0Kt7YbzOOQluvpmV04lmDH2YKrB2ADEDBPo+6Hd0AMrZaaY4
98IsnGtKvhmR4OCJ0xAEiqGaDqJnXfreQ+M50WPbL9I/tVFvGdusa5ziUnQ2jQ/SGLKXcWoTGBvS
C3MYCZyDZtwo8ORnN6iLS994nMuhnNK1cRghvVyW6dIPPXneRtwkOxZKfa+q2E7NQ0Tm0TEXvNX6
lmEsiwUez0lXW2azYwLiW2V7n5f70a5LjBfaWkpiSgz9GBQe4fGIsb30aOPHKJ7B5gwVweyAkc3d
QAtrNtj8FPgwDkiPFrM7JbFTwXXNCicVr3Gn25grR5yHA7MBS44dStXYN4T4TLvZjIjECCpxQhoC
jD9ydwFqyjDP6ykLU6eNN3atyhDUPML6oe/8zQpmBVzvyGlXALIHi+rDkzO8x3x2tqUjT/HQXjtr
2IieNNVCfWMrrdZqkgWc6EJcS/uKxu+TYSR3M9CLTcth9rGmTCrH5YMwJzKvvDTaR+PyQOXckZIG
/EC7KrtSpWGeGoeI+T5S8hzgl9zkdIt3nYGhoLRZGG0mtfvJr9OLUSz6ZCoeTekW8okEp49V79uh
ErG3IXDMCG3MLvu68npSpC2LIiedPrU0684tqXsXcMjDVusSpm+zHFCnhZ3dDHtbN5wfQ23T0qjC
WBmBsWkENgGQ9J/ZUb14M6LGAHEPKAxTbwK7pUKH7DRtg2GJrwDlU72kS3NQEMb61CD3qWafiIoH
I0ibiVs+fXbJnMVo0fX1zQn99PC5KZpl65M9QfmYTEeSa9hIsE+uYt0fa6VO1eQ8KKu4JzPvSouI
tu+A9l/qRwq2Q212wdmLp/suSE/MAeTWN5ddnHH2Y+plf7SfOqUO/jJfZ9DvN4EzzPu2KcjvijTb
38h+di1UsSQPYPAqi8+FbbbEyUykn5F08pAaoAzIHwnx5nQbhWpzXlL/2m5wemUl9G0TcvIGPIR9
R9IW2rG5rUIvGCfurQZnNdfDPdBW7EIjCYaj3xa/aw+HJj304ExiDrzfFkEafNvsJgn67Dgwttzy
VIi7OFF3xJ7vDJ8vpevqZvbt7LVY32b5EHkUxllnXJpG2vepVO65bvok5ILRMQTI8MFTyQtxlHQL
5fwl6UtxjL2OCUCqCjJMVnAOusDzsKTWruO1ftdb1C+xdoNTnnn3kdveoTI1yR/y/AvdkMkLKTX7
97xXhq0cvWjcNFaf3WSSaC/V5/3B5ELtzVoNCMac5J79eXDdzibiYaMnRoxkmViSfBkM75a53BM8
QK5b1nggPzsseRVvlyTBEGhm+8zKLT5ebb8mdnqTWwmrgwJKnAsYtln/yHbJ3ctSRw9TTvFpqDac
iXN5QjX+5MQB8hdjfO108OLG8iQHNumNGBrwPQW9GjntwTqdajc7BDKLOIvKvpEiVofJb3+vSMPY
Oa3ujjAKHhsIntzAOUKhMinGi6Mm8yYR1j3F7FXRJc9uTp6OLNheQrrY8KbduUbw0Q4mlI22E+br
u7Qx/Fu/sw4dme/3M5eOvLQRVBevUf9jHsXipSDXd9taFJWxwUZBeuO1t4w7wnLODJ/6vTMqeWnd
zN+osSFzD1ZcEuZL4R+KedCnpO6PONjPYxrlh74w0zAODHoco7FnMStCHQXexp/sgKmLPdi/E8zU
88KGh3qzaNO+S0rbYNDUqutiSI1wmUYi+zIn+dTMrh1OcriaU8rqaiqehD0eK1LEglGzsGZBsJNt
/0DA6I1KvfJ36lZwystL5uXFbuT7oMut8xALZXoZF+uEllvs7SSCOh07jr6ZHegTZA2qZjsw5Lg4
qRPvF7bMm26IrQ9RPTTkwgqiiQy0j83Oz3kzjaVV3cbGSH1et4kb9qxrTQpUZqmJv4Jd1uyroRmu
JDsWRNSS2QA7uk1kGU+JMa3L8xRva5c2j+/cTCZEHbTQ1TszbkZQ10thxyl29Gy4xzvpnwL6Xed5
tJ7s2Ww+wYQiySkqkR7viQO01mg/ASTMtrH1HVlnMZL1we+lMd6KxEvD3p76+86pbqfKMJjPEECy
JMO7HON511rtnoiL+qz0/2bvTHokR84t+196T4HzsOgNSZ+HmCMyckNERGbSSONMGqdf/46XurpL
KUCCgLfpRgMSUCVVVgzuTrPvfvee6775PdiNOaN6UMNbji9gJPVZtN95vNr7ifDrR74a3YaYQXcA
Z25uchJOO7dAFPQJLkaltPlh+/E9SGHPVLqvXSg+ka9NQLCQVK3/y4WbGCtcsqEjrOKj9r3lyZs0
fNrKf7ekw+zml96rR2lVrCWuHpkeAliVVno4T3gTAo/wlmXNdTzbtw8RL1geWrMlty32Uj7XfHsp
C4JNmf9oOvm56Jr3GATV+Gb1I5KVEtdCl068gPvACt4YZeRnsOTYOXV22OhdcerXtd7nStncEar0
YpjFfpCJjDTHazb4h+pHvMfoW6Yv1AONL/4tIti+aWuwp39mfh578ArUHJK4DFaZnath+NFK/4un
c7FtSQTFrEjUCzrjySW/uWuCbkHO0bJNgg32krO7isFWjJFAQaoirc5NjMxAvcDFtkzZPd1ZQ7+c
S3sK9lNtzLEn2q8ihchM1Wlm3KOUGk88IHvyGMqibNIdJlHs7CrFtlzaksOr16r3FmfgKaUQd1tw
F3zVp85aCL4WPp5he7GeSmEZn+wr3U9GVMbs9dbXmIg21HClbFgry60JDZcogc/1uByPHgFMspV6
XFkmoyjtcHxuq44u5VuEs+TmEQk/G1PBfG6w9j91WJC3shzTJ3q3WBVfuGhFZTW+dsF6IEP6A5eY
S1gSZlWJHW1Dv+zN+01Z1To7QcghueNVOzq5TcMbi6K4qOs8nG31fRzsITLXRjGoIps5RZ2EXdJy
/sl6L+yqCZekGUJiJMXewscbii4fjxV90ElnXXORW7jw6cIuGtc/ZaIkpTNg55JeQIpDbIuRpiOI
FPZONz5VIbgwYTcG/p+8sNQtw6I140SzrdgVDaw5pwt9esLxRi7VxmshwFS878pu7kN8a0ZUa1UT
ZfYYY99veZxkZKN9dwz7lgKYVYrvUwARngv+ltJnjdK75mWuq3oDiBzjfVae0DmWGOIoGZWZqyHR
EeKmqddwJhb1oa7txwDv9s5Nra+iUi+Y1p07zaUxt2ROMQdn2c7EjKKuGeLGXmhGapzuonV0WHer
Zr4iD9F3VJTlyzxQ7oRVgKNuoco4N2g/s2qs1wK/YmjmNYtrKqbLtiFwQAwiyuok+yE7IzZmj+ZJ
slGbuXDDRQdc585+8uIZxbkVyr52djBEqq1+cfntQyn6jYGEEwlNmrykI0miXgCMUeVLZ+eUDtkq
3bZ2FWxsKFtcun0nXLS8uMiUh8syyXILR6C9un7yqfcd/DP6C3ZikvNDu5A0CnqWNrBauPUYTXBH
HvZazYu6mnodlTX9bCu5S1aS+nI18+CoGb4OFbUmLjqO+FsDbzpjqvxRM28UhvZu+utH2rg7z+hJ
Jg8cw2YuMa6vh8SX44bQx64QvzS/hbvr9vrZ6PNm38runoKEUzULHo+i9SO8wfq2aRhvyapYO2sY
d2ZNstbK85OPl5l7gn7Upf/ieAJoS7Z+zJ76SlT6WdeS909tPajh4tXJSz2udIDOVfpd00zo2Ohf
Q7auUWp55zXwv/lNHXdBUO8kh2NIq2hzTRIzp4RIN8623TzkSFGR1ud6NKi1J2vvp/pVJjUa6qrd
K7cd/VCW88qRkCf8uJwECNJaI7YLheaHjnfw96UTPy058R5JpiUko9534WQXEN2EU74X6FM12Baj
BI9rwuWaa6vggld3HqnirnqYSC3tR21uQaa6cpdnWtpFjdnpIqolnkpzMkjB4C1gyGnal0ndZGki
1Adu1fIQ0Iy5s4PK3jbLmp4mXblb2nqelw7UZVsHd4Gv8vsq04xfTtar0yoy99hYFCOZxSKPqk6W
rTPZ3bNdLYCdOvODGT6/yMpmwE91AuTpGI19nZ4tFuKRIiB6wZFhb9oVvqVVsyTIaW/bjp6tbQdM
Q3GXpVwAKiIVlWXHKbGcsKSPjMbF4dZshZxMYOUutUGbu01ubUxRJHcuKTxwMcunX+JyKU2PTFzB
b4xLLYXQUNHoHTrAiyQVNI1X0i1cK3pBzksG3wNdz+LW94hVlYLMW+NUXIO6NZ4k//o+mFA2GbJo
LOPtWk5b8DSA/ii+xKKUb0WtFwfujQevrAhCFuW4veFmUOsL2vdKp9oUsA5yMJAMU/6jyjV7xyiM
4mLN+fsoA7rUWEvIC0c1p9DEtHBd+uAEDcsPG/ASLNyQFKlniDQcJWFN6P7kLb0eukSa9r2kerDr
0GsJ6uinQbbDsa+tX+2qLhDXaTlmtjDX7GrwdN/QFl7e5x0vI6sKnJ3S3BhFMUUaoY3QrbMhlsQl
T5Od32cm2SFZl5fU9V5rP+hhfRgt/Dje/j3bt8rQdxS1jBSbOcwyLAO3SmLY0chFkSsafq51Q1Bn
uCw3IEa3JBhILCJ3tAbmplVFpVZW4TQIfrwCucbqI6J7PJUdPdlDgCJuKRuHS8tynPikRuqGv9LV
wDMSbCh8+PFz9PLPzHOAL7f3M8HGQ9YvZswIeeIR/QrKqdraat4wavFOxkQTDWM/hXwa9OtqKHPn
zxMyysqhi6WCUKTxuOTawc/VZh1dGbWtUQUMOmv11toassk0TT6CtvHMs/PRpH2dnwgGifyj+dWf
orRjHBw0HaRPEyoUgdhIsukooIWEjl19QiEIHvJU44X0nV07tWj9s7W+YFi+h4g/QDkzzNjq9e3Q
Ox7Lny4HQ1U7WuwW3hIy4OTPZSJ++kZ77VfzJH33A/oMppOPwSjpK/V/deNC4aWfLRtA5tSul0Hc
5lVk5E0er+34qxkAAxSa/C5aTWzam7Omb7RImoA4CsL97GbyII2rCi1AGCvXljwBvJbfd4IHdNSr
zp1J0dneXalG86hxp29IrQH2n9j6xGO7dPxDnOTkSUviVU27qfq56tjheeHUuqemNE6d7kRuPmON
mmWhtqg4GNwLRRvkangtJ/TSqjOGTbYtvVkEIQnk7pAVLf4inmpDWPdG57DIoTKZyBw38uFZs92y
35Y+695tp8mpiywcbPXJZUZYeHyYKtvmdmC0JnyXcXGSBs1BaYt+ViwnP3s5e3I4J0bQo1j83c35
363X/18FBMA++a+V+L7P+A8k2H/wudxsl/wPH/3wP/+H5pPuB3SEqE+TiXPL4vwfLZ50PxhL3rxY
Y/+XCG/xl3+ikvS/sTgmuBOY5IVcKEf/iaHld0Nq4Ny0dtsAMXuL5vxOjFT6AFxuFCn2PLgRetkt
OwtqLNtXoDBGrKei+5rV2H41VEb/m7IGlgv/qPdj83UoHTF8y7VYr+u/26ORoltHwuI/lDkN2V5K
Rb1m9nwu15IsizMIfT+0DutxovAcgka7AEwaa7MiaFkvL2uiWi7DaW+i2Ev45WFgLDg1ZEKyAAVR
xh5U+ve1gVtkhn2eqfWUZNA2+Fw20ErI118CmCF7vksesIsAiXQdRTX+9HIfE2pLfdm2E1ZAkB73
9SOpay/q8mTe+dOE18/j+20sdv4exvVj7cz83txqrs58m2CD6J4CsBRU65bwF+QVhdtvIQvIYSNs
7vP7YmlS1T0Zyaq0o88Nz+B+yqv0Y0ytFN5M4HGz1sckzTalSmcIVJR9O+9CDxYqlAOu/OJUDxa+
WvwsbTPdt6Z3gxCl/pRe10AT/ramxyF9nFLdxb4ty9YGcF3qPMl7NLNYE7pFo619+ydT2sC9b3Mn
6YhHNsWsrkmmDHcRPDUToyctbkz+avmRIV2Dyp+wdBOdVTIK+2e5Lund6C31ptbXAnXaW1jfolX5
31Y1D9BgjGne4Cb1dspd44G/uxlruy8sUuPV48raR1JPrX2BfZkZwGTNSZ36tw7Mvx8Uu7Ir9Qum
CFyawbbpRj8Hxuly1nEjae22uadP1OQN03hYHBSV19oSJA8jvewvHKTym06xO709lYgsUu3RkEnn
p1bN+SMGedoY8RbgkdGCrcCmQ+tqYL3nDrLNhAExzryuOmRBNRzthGIRwyge8TDIh3Em5UqMjaao
amp3mjG5XD6qwxwszx4P2luFbNB/OrWRPJb0d8QzE/pBpvSj6dNQnjxqcLFB2Qiwa1ZwG3ersNUM
sUvnOvhyU4n+2dGLdj+SlP9IR45+LiCLfmXpzuE05IZ2hEzMn1r0Sn/AzbDsprZdXy2zeM61xnx3
3bRJI9OWX5npGq+uz4fKnix7y3XCPqSM1Qjkc3norOlnApD0Y0W53AQN7aYhzwTcWGu/yVfcooaY
gD8102m0hXNXyL7YWuNqMaClSb3v8JkeyNa7l6T2aMA2lX81oGVxZZyGQ5DL4lDZS8CEUffPPfCM
O2ty6r20Sus0Yc+5Ekpnp5Y2DnhtYVzV2OTf2krk77yixW6elXVS9VrsVVU1VwkJ9qtJBxqMMZ55
x6yz1vsWLxZDFdkpwufGGCaN73GjGfCRahqSvWbN2cVfOushWHWXxjw+EnusZwmrAz/LjhWD751C
EDmPnZW94ZCeRwrkJ/3SyDG7DEK2z0qq6QmEZHMEgFBttDkL3lFT89dudIcTFaYQJhHK86O+equ5
NUoBLkoPkgMs2Wk3rDT46nngb7t2dH45Y9fuyAssb3NuUvkT0KAumxJfT3KBKoAxQwmwa3+sz6r0
YAbNaXF06kMDi4uxrX6oasKdIOm60QmyhNSv12iK/bjrssrbmoLK7HV2288mcdRJb6dsW9gLvLjK
nh7ymrFXAKXf152yHkjcLd9Una1fwEHGB34hyd2MyfuNDYAR4XMoYz4nQ1yXc76fALvsGjt327BU
tXyBh473xzP4tGg3ELgnmx+WxsZj9UvUiznRrc3sztjOym649wzCTyijCwW5Jugjn1H+12oKVjg6
KBTeygxSCB7PzSzHi0jK+wad8mrWZvrN9Pn8r07QbmdAU2OoL5l+cTOpX4JBBleNzd3DMo+Kg4K+
pXNdG8UuKOa7olVNERp8UEl+pna8IjDTPz0NXJqxoBybmpGGoC8d5MqqLqpFKvIsHjWorSfoVvnR
bG3jyV1YrkX6oNGc3brLF1gLaqInanIzLrx5vu+Xvv1kU8lSL5dHzhJyhBQ4fc8Z2Q9F7xDcgnb2
bHR5/5jSDnwlVoGQpkh8hHBE25e+UgFSs7deRi6mH02tWBEbxvRYZDcDJZ8e71xN0/IDzBZNsvj/
nX1VOdNRS8txl/TGeB0hzB1NPItbP2vb18lx+nugXUm82Li4rWwWD5xszbsbqPrTHyrv14KPn0XL
0KchnIgfqB/5BvQDOt7Q0Dzgq9My904Mon5AaOT7jAKtZ1KgNXkK9b4YP5oSjQxoCciYyMUqcrwV
Sr3S5ACi0AN7AOE4SyIHtNwvquIxJwZj++anletu7DotP6009XdYqpKLMhL/NPqVFhYzICwR+Eji
0izCxeR8Q80biutg68Fd7pf9RRrLsFF+jzBda8MlGbCQ57ZEKy88JtmxUm++zU7FbNCVWR1q7Oh7
a1IPTdr751ULlp+6pQoVBirjuA74HZ+KadCehXDc9zajemiWLHe4c9NCeHtoU8uzrgnAfd2v7270
xyswceoRq3GJpV8sBkA/x995AwId74kJ9KQZaCB2DApzZlw9H5Lk51bPrA9b9fVFSytAhgjhoaHP
1nkaApvH4GLek0vRozSpLrcXkFC9ZezWQUXjUmVxkLfmRYE/PKQmfMhOVPV9nZrWi+cP42b2NCTk
tnZ2mpsjYhK82xDzMSExZLQp1lYDZUfvHzwntb8G0WFUNoZmjdU0Bk+GgyGhantzqxMVeHZgr9nM
qo19L5M2EaE5zsFDkVbejkRWHWHMO/tYz3jZS1vHRYE8a7vzMRhM/EuZ1v4UKjOHUFuQoZOh9fYs
vhpKAfslqpKlv2/WoqFpqmn3uTDN/UxhQLQ6rHamaQ3WXWJ03ht3AfN5BoS3AEmxvF9+qan3svad
bSKbb05beBstDx6AG/Y5P58+cO+YQG+bPPLSMB9ycZyaTju42C5gFyHZJhza7fqVNR3+yD5LpqOp
5tipOd4o6kh5a9qMU7l08ENidTQyDmvlSjtnq915eWxROJiz5LPV1UpVy9DdveKnK+/A3eC+SlhV
7Tjvqu1oK4lCwFimZYa3N+vCv/MMb+ZU8LJ3LmguanOOmN4uyV41ecIGWwZm6BmdIQ9OkRoR72yY
G9Tziqiz59wBeYB3nKwLMBBGvUe362ijX63p4OoLqBDZshwtyADy5gg8ZNVVoH5Kcyd1HisYb7hM
z9xUKxyn+vQ06kX6osu6eLFN7oCUr692xJqrvcPQHJxWeWtzTZ3koHsNHpYUxhc+i5oTDLk6OWRq
RCmCVJIf8wF7B6s8I1NcMYN6z9yZ9j+tMvf6AMQJQVVsClbrn5PRkdhJ/Y4idjbHkKisCwLtcg1a
ROBAZmk0pO18FNW0blIu/t9WFPbcdp9Tl4J4ZWZXYrsGP6V9LKVnfM88gI3dAlW9TbBShF7pfjPW
0Tws9AyG4wSUtVVav2ms9aMTC7KJ9uA3iImBGN24gDmFjM5mqB6qaaeDgY6kU0QzI8IpK4xyU9AD
w8tibdWCeYEpWcVWweVGK7I7nI3WpXfsd6NnITqPNM6n4ANjKX10yLLgF1NO7CFKpAm8WQ1WXhvG
pGgtdn8wOdNqObLwuBOLbb5aHTSYyJ/rMtLdqtsaYAyiVZsBVUllxWu9MP/TLewh3oQrbtP3RTNn
RE8MEWXg74LE8e5mV8iocSuiTLz9PjTg/KCxkmcwX+6+0ZLliHiuX0RZZPGYTjZYw45jrhfZIWs8
qCb9sEaEVp1osdUENnZIrxWIqm0g8+XO0fnhcr/YZOtQMic03fB3BO1fJub7v1u+/gp2++ex1MVu
brEzJGwBDPs2OP4lqigSpAsQnNkhL3vGOm32WI2sPk9pB7f8k61XTKTcpSqObF3+m/zzbwlUplIX
Djr4ebAHAItv+L+/fnFcZGxh1iY7GHPdfa05zS5NVog7X+Ln/tc/52/54NuXop2K/96mX8yRv32p
DBeWC/+ML9WYbbXhM7JgnIRU/PNff51/om/fvhA51xtPHd6g+3v9B3jIBReMlx5Ug2ZNPt8+uGo2
N0WVDfdtJ4mBjYFgI7/Y5UfjpUzU05qKOxoUb8M1O71q88e39N+tDP2/B5S0EVz+8ur9E3/7ThYf
oi7/MST19z/0Z0jK/pt9o3hjyKReGv8lb6v/HZKyiEJBl0DXudXx3kpl/tSQvNv/w7vgRqD8i55k
/Q1QCQgR8ls3OQl/539g4nQc4x81HQOsAWUKyDp8BwZv7ttH+y8f3Y40RDW7Rnu0B22OLRbagxgH
KqAG/8ERlagPTgDULYSstTob2RE+fBGDgzvRc03ixLPWNSsKeRlkyU5DM+me1dIWJx+/TH4/8Fz8
DtHVe3dWtzoKHOSnYcrNOLjlgls9y0oYc0B1XRmMJE7y6pw3rVa/V6KpL+OiGrKMC4bsiXaAdBUm
bhtshsH7mC2s6SHoAckb2sXFfDgr/37BEAsALBPEXiD0bix3pM08SJmRPsZBE99UV/QlY1RNB3rT
83A6D44uhnSrFaVO1BGmjphDTIq+NV25GEPz3PptsTZX+LD8uAJunBd51UI+cc8jmqapDctFXSuh
NEPuwbhtJqxUYqm8Mrn6JqLXRCqJ3yfH7VKqCZsNtbQcjCOEvsggcKt/TROVcOtGCvgWHNhV78A/
q7CQY8BQLGyX0FWVBdnaN1HkZ+6dxFEpvmDOibkD2iuOyzFl5QzL16R6lKUiA3j+Y02WpXdkNHBL
dTg+6swOaeMZ050p56S7QvrWDjob/XvC5UnIFQdparSxoPWiOghNG3cpzg7SJq4Cx9vjzhuNanow
CixZbtAsH16Ty81UqILStEWAuO7b7eiX8twBct/VvV2yrB7UTlYjc1pb1W5YjMXNoj9HiF90n5VV
HVuuSO8cM8CEI4o5plxQxnTGW8RM0pqKC8QhpKPyLak07osSKl64amNzV+TuC2uf9MFK2/6eBY/3
QLRrfBeQppnRDU6hRswPvB/q7TLW2StRpuS+MOvlTYpGI0WvcJklnpnErFq8axDI5FU0s7Wfhavd
aTN2wrDvUJpGr7POiZsUWItBZsaGRwjulQ4GrnhJ4b60rlE99QuCTMjag0o5lDJrjrKy8+aIPrD1
UHWm64YB63YsJ9VwmBiZdlNBeaMF6/0UrB5YEaNxpme0f2KBfoOnNlayK34Zk02ZtOWtzhymFJ8T
7q7BK6JII5uu3qGbnOe89eI+V7YV2iwvzwZaJdfpbC0QNjs13inaWk/GPNd72w4UchR2qFAVffcg
Crd67dh87Eb2eZ+TKd6MthujofD9I690uQE6bkdL3/iXdSnmh8TtxZGdafecQg3/pqy1ZDU/zeZX
Xnf6SVsrj0RGa1FRWszB1s6bn2PQJnsU93YjZklgmfXQUyB99Q1xp3hb5Jq9WdOQOZHT+vKt1aqA
hSafMFcb6NfzDHPDen7YZo17mmo2TaD0i12OveWuomXkOM1sPjmIZQ7JEGXwzgBjjo1lzUVIejW7
r0jtH2etmTsAk9LiXYw+LRx/LsJs0PoY69qyqSfVRFMCeJzfyxB6Ht1UqaazL+wnigeCKqbxxXy1
iYHfDVr3kq3dU95o3o/ZqbE06MGoy9CZcPRHZrMS8uty+1TqS3LWB7Kbbt4nsZelh8DuvcsydS0f
DdU/rchpsdPp9ZerdNao01rfE9pZP9uJmztCCO7CoJyaU0qw6AVWIRuplu36TURmrbcG6YVgrnof
WL5VdZFy+yxxNkjSllE+g+TOmvSD9E/2s8BzF/VjezYVXmbHneZYjMr6Zook21t0wLGiQq84/4Gm
stkV4hEh6cYnzhb6laC4tu1qek1Ylvn1g8z7m0NuMIJNoWbjOvYZOAIc7iAHRDnBAzPFMD/Wk022
XaaT9TQOMCuARMDtUJmCw/AHqS1JxPJoa4l/rkdIreqG1gzcGzV3GQyec0q35vuUUAGLSl9gTp4Y
Xj2ElmcQEv3VSwO1hKmyptiwHJbIfSYOdC1Aa2y4oJ01w6yvbIDA2qNiRoM+0wXoV4/ov8sBhiWl
eaKnJyJPehoTmmA3tPZ81oYbqx8F9suuO+dXrdk/sqY1z4Y39kO0tOUCC42wVZdrfMg1eZkIOF4C
S8oz3cEolvn6JXRwCa1e1HQ3zC+13j2xACQoatDHQ4ITUgapxG1GCetOR8F5aI2u3miuKazIptlg
n2pY2+SYshnOElJsnfHGAobAZuroWz7vXzkhysfW7KdI4Ap6Tj2DJ4jomuOUE0rsusQpLujZaeT0
1XipQU3uNdixbD1KBD/bMOB71EBqKz2Y7jNWMT/amYwiCoxRcO2x/Vc6hewj3+ESm1NDi6ZDzJeM
nVPel4mGzcxc6oNRDehsKLAxi/7srCHyslap6t2gZhWz1R7eTcbeuPBrxjtPfh964zNvMReuHI9n
LM2pCt1+Eve235JA62vmzVKYtBrN/S/DGuVGGYt6ymnd3qBuws24dcDZPu5Zq9OSJ6bY/urq3rCb
AjKxS0/z5pjmloEYHtwc+dQzRax/tcOkTuyZBNQ8fOu6XXxvAfxvU0D1P4g4GBukFl5X3/8u/OJn
hwJzsDSOe92j5b11+CsmtiBcHHK/YzboBz0vwK9k7LXNITPOK2CDryD3HZ6dQtvRRaHRHkD3cT4U
yHxstLbNkLdEK1J8h20R7C1Ewq03c/OibtPZSVOMpwxaCJ+jmSwvEQ4t1ukwYpNQjxvL66uvwZky
3PEFhFcEB7UIdz+NFrZf57LaU7Ov7FKGehOY29pwvlq9eVDK5+pAzjayc5Arna4RydG+GRmeJiEI
1GVy5YZR6O5G6vXVa7oH72bM7NvdSvCatJ+ki1dUj742UGVRr+mWnjFMw0T/QzerzNAW4tivRbpN
7OJilZr2GPRo6IWrgj2Kexqze3igkeB+Ae6/HUpssysWucgtFqpZlBHLTBY7oGp1PIAKie20JgAo
lLGrRguHk+ZZd5BPWYgHmvcMZCPbs+yvI7hEPxER6LyAahJmJZqHmTUOB5nEf1VZiq5wI/jKyqXd
eBpvP6TBvTuPFTIGZic4ICIcHWVE2O7UYS67YJ+T3Qf8tPrHclge6Fb/Dnn55f/PUn8AIv5tKg5O
1L+apS4s4mk3/H0Rf/tDfy7iQUcETFBARf8+Fv2ZiHP+5t3mmD/o+n+OULbOrGQYiAO0SqMP3P49
f67lXaYr0GXUeRIEviHG/qMxyvpNAYEQxfiEKIAzFv6o8ztGsjPcvFVtCgDc0XF8FkXqjkNow5bG
DOPa47uelh68bqd+zJqlut7Sa2Hrw72OqkDlG8PL9Kd84IO46cxZ3gkEYxm6GkDiwOt2c5BZx6FS
3C5HzqGYmwtb5DoJbAxZEs/tIhxxGoupPuvce72wNotzwyr43qstf1fqgdglHqAEm8f6EKWllsS3
6We3ZqI7ENNzL6q/2Z7WXmiRpcA8MQT55mkpTPeNs7pWkVeayKggoiNLqHGXazcrX1UTzG1te4KL
Ps0HpX9KudYf+PS5LEorQfCe/QFNE4rSRDZvK5PZvZuSmaSq4Qa0tYqk1g8Y0e297Ezt63bn+eWR
yr+zCKXT8lF2P9PZTNpIgLq4z0SjdoNldY92b0/HXHo6wCWkrjKycvNnrkNiyB2Y3cR/LIzNoNCv
qV6lp75ZtS/Whh0CelODDALlcFiy9tvINvkxn254cOGPL6IZhqcgGGY8v9rafd6469+w6Uj2oQ4P
TJa0uSJbEoD88yugjKC1QlPPWH84gfSw0hrdRwtTSrHJnd6QrrB5qar4LLJh2AdrNmyJrmdfq66K
c6Z3d9qaOkfZDc2xS9b11CQF1YKOdzsWfDqaOozA9KEsyux4UVP5DRs6CRd+S4p/GxWUeAOs4rQY
XhJ1denyg84BrjcjUWcjc7R9zny7m9ukeIaoKt7kkCE4YnWw8NTOdb0p2ZgZOPPh6RFisSSgbd6A
ZMhsdVF2sMJOqHWLeLFBI4JYbxDYlNRcNPUVZ/pqoVBDoZ9+ZSR20FDnG3SwKgA3NbmoYCQws9j4
c89pV6+xsy4qNMleX5pBy8+mZlG4JcuJoEhtLxjHkPXT14R9LKMSy79PDmiuzpgCMOIWWJNrsOi3
gksYT7gwMUb6lXFdSyd4SJNFRGS7N40ocdovY+x2zjUrgvGr8ix50Dtuq1NOii4ee7VgnhfzaV2J
X8FGGqoXwBbJN610U+1IVK7NN0HlGT8I5vS0W+mTehzXCVfiuEjjfcB/gsuyatWDoar2e7foZhQ0
k/EhSV/gIV2G5bGHxu3vbdyyVIX5SOyZufTc5C2Wq8kgBCunxLBerVEXp5ZOhk8cuHRGY+9Y0sjr
2J83aeV/zz3du0hnXnSsCtSGr8SGCNOQ/iSkSnioiNmP1VtfVOUH8KvghRvOp6ZPTew2nXUxlLv8
dJqOzGnPha/aJH5SfctTPH9R0eVY3Vibdu+Dh+c6JEjaHPykHmKSJhymA4agszBnTORD94Chg06p
NuPzjC2ujRZkyY0PmS3Cw8qqbVQ9GY4mi20iaZt1GtqjrA3v6Og9vQeWyH1+D2yja+ZfXJYW7hwt
aPTdWNjZozlqzq7OdMlVKBgSe2N7nf5uUsO7WW2eqKOpN0sUVGWWs7BrikO6WO2VGRECHH2Iw2Pn
Zza/WK/M32SWtws2yoGZgAWgOiTpTA7M16bmO64XQDU2qMV9q4OmhiO59Hc2Q/5X7Xik73ojH1no
LRoPl1UEYc26qiOUaI9bzRftd3dapp9tIab3xa6Mi8VGqtwME61ioeUsMD+CxGpZEASJjH2zKUkM
TBTJmxoFWobePFGb1cRo09OpcztaaUGuAzfxjnazDDFqFRYa0ReINVlyAD+SbmrDbnezXj6zfVQ7
gC8MDljECBN0UNUh9y8oXMPobsAlrz9WqPrlZjTcliJlhXelFiM8Bt2nmUo3ilGd7KJ1q4Hk5NRk
b6uWYjj+L/bObDtuI9u2v3J+AB4RCLT3Mfskk32SFPWCQYkS+ibQA19/JyjbR1L5yOV3P5Ts0jCZ
mUggYsfea801MeVIxQdvShk9rqIaqVX7ocOandwEI5oL008cztSkGswyq++dPBP3jnTDW5bFkflG
Oh+ZTTwhHC3uNYTN+042ASfiOAmeBvjRHyijPZwbiEwuIqh7T17hLNLcgcfKi6viVnRjfktuDNPm
MKd8jlMLoCHuRkTveJIwvLJss+Wtx3yKrzvT73AHuZrhXpPn14kveLtOSnB6k6GKbmAV8qijyFvJ
unFOhGY4N/hlzSvbLgJk1XMbPFhe7RxpEwxnxJUeXLseuaqi13ZTGGGX71tDl+AIwX/4ZVU9YAF1
jwR4ic845ebjMNX2HnBDtxsDPX9k2jiW61kb8yGU2YR+c8LjgJF6q9ugI5fAZj3qYjlfEnHqHiMa
UmuOyLc66wg60Ka6CYAbWSyyaXA/zMFiIzSv6rEMy3UxWy7PWlfehiAg9sv1PNflKE9+MiP1sQwX
ZFRt3KRp36MwNwe87v4cvQUtkR/xiFx6VeuR+B9btNPFhEjkzkzrYe9Pvn/sZdc81UGZ3/aEVx14
nhygK11Z4xhxMfY1Q8hBep4mscFNHyEvV76+G5TIUY0lyl9D4JLbyI7FIdGZdYP0O7iaXX88NmyM
HMEJBy1877MoY/+zbJRZruzG1h9iPDYfBXFqx6Y0qj2MVcNjHMlSw+0XsUmTLmavlRDuLu6T9BZr
4vCxApa0SUm9f4F/4d2YU8GTFy2LJvB1M+a0Mtgz517TLB+Kyf9A0glpE33kRdWlbvRS59NBjdCz
DP5LbATpA8DRRt86Nf2BA31yjV/RcVKbSBWpxcl0MFjg5pKF0DQjophQscLnypfmPD3UOtyMJGtO
OxU57q7yHXcdEY0RrJNwuJtpOySXQIRoN3dL59mulB2/mu8NaUJNhL2tB6zm+OScRRd8JWnO9RiP
wzQW3QW3rFlj0+wLBq6vOphfqH3HZ3zUxeekH80nH5P+WeqwuoAcdtaFO21zpfOjqwGQuV0PHrIc
752M0L+g+2rF0WvSOi9uN3SfiBeggrBqwAmN3b24vpEcHNfLbrXMtoOVGye+HPCLdZUicmr1VzXb
PROASqeohrDHkQbRxdmhZsB5p+wBFhTeukivqhqX4Nlzunqbz+Z8F6EKIDOjHOzcWP17hPpvjlDK
omL81RHqsX2Nvtcx//4Dvx+fGPf8JjidkNrtgLtX1nejKAmvj6MSZ2YBFg9d/J+jKMv8TTC/kkw8
//cAtYynhFCg/5Yh1KJ+/gdzqGXO9QNKhDAFpYQCckLaACKXnyarpV569JM3XaG/NWam6kM1Tbvc
GfynPLfUMR3pGxN1FlaXjO8BjU9TvB8XiuY7ebqmV3ppViUU0IUHn8cSQPI02becGRpOCGU2xti2
VgrPUI92MXesYLg33GksQC34PYXNYxSMfl4d4EORiRoOPc+IyALjxs+tPr8o6wQ4+ho9ael9ZW2c
4u4wwKse+2PodpLNOqCPk1zgCiKrtuq5yA9GUbrmtsLWaoEOGABccS0txWQ6AEjFy0arsFqku7kZ
ggSBgkUZk6Mw7YYsvgbICu/dNWfCKVlVzkVOZuLclurAhyopvTvjE2To+OwlFpFCVR4ld2hFrtuR
zjKynBC7T9C9+pJuC/5ZkifjlILDQRSy9ssepxwc3Nk1i4uENd6G/UViFzPmYRC9vjTdOS/kAgYb
ryPCoowj8K8B3VRqhNMDeVbdLNCbp4S5BCTnmO7eRK3W0XoRZUukGrE2chEdp7jNl3WIE9JVBbaw
4FtAmGfm/fHfFeG/WRFMWOJQL/9v1ND1l0/1a5P+OKD+9kN/DKjt35S0MDEsAgdhv8ca/jmgZlWw
iVVxvD+Co3+fT1vL5BpKuufQeCE14PvAQ/FP1gIgFv+xGNgsK5ai4APCzhv7cSadqc6g7or6k8pn
HhIaCWzpmJqUpZOpOBE+Zk1ob8meiJCsLcUb/cPhbC8VXbPUdlnuUeYVvP2reqn9EJs5p/G9IGyX
2tB8LxNNusc7aNLdB2upIuv3grJfaku/9eJrc6k30/fSc0HebSvCDdZgHNR1u9SoAIX1TjDrpAgW
xW271LL+e1lL3F76BLZmuFhCfLrVuFTAQg8E0InIgBvtlf59Fnn5fW22yLypnhvS73CaUlE72p7v
KdTr+yVRaoeQjtI1aMetMaj2gvkEianE2q17R47AEi2X8zrS83MHBeLVdXN9iJsyoOk9szZqXTW3
RFtEzzpPu2ktyqTaqLA3d37kygfX1tG9PTrJthcMhVcGHMRTHQ7mydPNI4ojqL2SACE4BD3IcaGq
+Vy0XboWcvzEioyHmO48SAujj0/wS+lYFQzLPhJ8yBBN8x0+ZmmSX3tDH+2MNpovWN0wmEWTIsuu
99wFaIzVPAmM+Nb0m+RgZOENTsZkB7YphU5k4wsjeuQgWHtOY1R0p8KQMaiM3CGTnmy1h2mpwVNO
xuuWs8uNhwX7MCHOuXK1GE5WU0wHBDbqFUdIeQFMoH1wPDMbMVMa6bYwK4gVdQTTKK/od8xUfTst
XQZpQVbcGa1QD+1ktS+QtrKvE0Kss9kD2nPSsbiBHGhcq9glm4rjB9eK8ym2HP9WN17+QdVxv0ND
V2wYjwi8FCkUfkE8MwqJkbZC09wg5ARIPrbj2ld9rJnWTsxs8TX4n4Hr0ExBYMcmZICPQ9+GJ31r
OUV0BwiTOaPjazLSg3xe5aLExok8A+u59dqbvXdZIGHeAwmrrq2a8U9XCHx85kykXhOOu1Ea/rjt
DT85VTOY7CysvIPonewLze/kltlBwT0Vzjcp2oJqldiB8RkfMsC8IGykv9KDw0iSYqG7LGLHpSlM
+5+9hRE1u8xmYTp/wAIsnusxGU+On4ptZDXdVexWNIPKSvd3tRHOLzqrTBtZXjVeVmxXZx8x8I2H
56X2qnCPPIL2kWhaWgORuU1t1SIp7cFtck8WLp0iDfqaCaO9cZoWzUMDC4M2pOcER8zVwdGEHHFk
MNBkK0g76AeDUY9Mmuogf2IZqW6nAhtDEWqxpddhb2OjYq4YoW/Y42igiKbTsUWAqG/yMA9v6sgy
N4521MeMphLUetz0z00QsW+OXjc9cG5Q4ZowYIPEZRkdbCfIL7qZE/0qNwiOXveGtvsdkeuCKD70
QuAnijS/NtCwPrmyQDDtOmVQrS2tA1aSGJXvnJdvmRRMhTsnH6/U7DJ3xAwTp5tk6o2nsG8af5tI
G2JwZoTod2KZcA5NCm3uRo4VIGEACd+ZmZDPdRMU3RqBSF3pXeaU1C5XQJO9kW1ahTnysl3dV2Hu
r8NhcujPjqJrxEOAUXVyHkM3r9r7dmn9Qk8C1FtczJUJcmvdegCLqo3Vm+nwUCdjyMw0TIOoAI6W
icF+zMF2a3frVRAFdkbXtcnb5FaVTHEHybpm42Jz+1eo9nfDlSWm4td1wPA/h9e8Qhpaf/n+iGB+
+8nfiwH3fWjCmkgtTlH/h1LNNX+zkYiZ2A6XaKkfcN6UD8txwsdmQRmBFfLPUwInB6KP+c/hGHIv
MYP5J5XBT4cEC8Mjv8jxCD7mXVCS/FgXWIYzYlFzZ3LysHGr2cGx5IRP312Uv9Cy8hG/P4l8exFi
RjA78jn/I+6pLXujIghoPuBk0KvRbWYSI3t3jYun3f76pSjT/uOlLC4LRb9wYVkvddB32rsyZ0VK
QjUfRqbJqziL00vTxDYvy4rpA+kzh1zW5GXMtrUCf1T+zcv/x+VcTm3W0qBBYqAwtf748uClPHtw
TNT8xXA2c/fZw3Lw60+4/IrvCJGWt7yE7Zvg3PnekOn++BJ1bUydCKQ+2HI4j7Z6anxZrjuS7lZi
1l9+/WJkMf3nyzHTI/2MkBhOlGIRO353QVGB4WeA7HfANqcvcMxJYOw+2rzUZjHOeuuRYx8aA6Kf
WwFhFlwF7HMfsV2e1nm9oXKKEciFbHJ0q9MjNBuf8OES+RIbcBaWK9ZbWLqmltWwyukO1xSVR0gL
6pOZwJdFHIJpZglxrlthPk0kbi/eRtjRNG7UdaQ7AONRqjadmManKQnqU8xZM1wpqqxoY2k/Pzs4
CZ7jyS2ZFdS4vcLSvrHbIr13bPASqPPIug9ReXd9ITk6+tDsvU7T3bOR3nUozdhQrkA39Ig486+W
m90j+/sMFOyuZUC0HiwPvrkYP4ZoKXiJxNkaNr8zh765SatZ71Nt460qkBY2yfCljnx9dJPoppqA
e8ag1bcIKrotFZlzPcJpwmDkBBdmqJ5cA8VdEoEz1g0cubjvySsx/PNIOspmkkmCy1WH5xZ077qD
Vo9iKkStSRN+HIL+gK0y2CYEfF4hgFx3EQyFgCi+Sxs7LCJDcG/TsjWFPpbPBNxeXLr+WbukvkUc
T9amR5ZIRQg0PNJKBnJXjHXtPFqFazxHaV/fFCVAya1HVs+5lGl/mdWc4XHUUkHXNdExRPRFl0Gu
66syoz1nFhp5InRnrHCaVm1ZTmso6ZIRUGfu+jgTT1aZeoCnwEsbUWx2L10sgCWuxSRP5A6H5zjS
87aIS7kKsNxsIu0sLtV4yRw16uCE8qm+Qz1b3wK3PgWgPF/wqrRnCxLTAeiBvJKjcg55wb1AizDe
dW0x7otcvURpbUPsQAKyS1w1Hqwm9u8Eo8m9oar6ag6N8rbLUO0w6brCoFppxlOZ2NUDGd+lY1Nn
Yoykuh/teF/7VneJrwZ6/hw5tzGzxyBQJEUFrStxtIVY4lI0VY79PPbhhZUHGvzDcFdN6SPwKs4N
PakGFpinSxSxKdG4QLr7jiYogc1ybyqaw0w+ssMERudoV42+BJi/BKqEdnmTT+wb3NFkjRHwHIo7
FejptcEatKQ+c9oLE8IUQsfcq9GHQpFRNgE/Id4Ek5OLhljzamj6oEL4eEdhahFLF1TRhN7PC168
tC3WAWrkfRgEw+WYJAmd0W5YOxiu95TSAc8+7UnTEhyago6TgZ36K+Vkw8VsRvK0tHh3QUJyeAmL
inNDXGwcN3pltv3sS+b1YduK+5j53MHs1UdIqCfDy8KHtBSMH1yuNFCfi9Zigo4spV7NFtjCYOhR
FHlkKjtzcmU0GjoPI9oN+T1vMOPBhpLuiQY0CPtjwDhiKw1xB8xo1zISOCQGpsmSeeN+Tvm1YeDo
x1oaLu36ZjA2la6By2M2e2164orLqHK2zbjTVajOtl3560KmeKQLt29uO6NSNKWFd4zzAci5jDhq
LPV2FEExAQVSzddBlrZ4V4NqeiyB759YkOajJOSa7r79UpfMN03fW7DrSHLIsmXgLaJT6BX7iA0A
xYJAChGGCN6yXBbXTe4ds958hB+O1CyQDFIxF1m1ZzCsQ5cQpIZ3FQbpF/pxCTOVZut2pvXaCav6
lHSqv6k4rvsrO+PZY0lwbuKJYwZZidnRyU1CKDzK43KYhw8lJ+UV1RCvTLTBNK0zhwcIheiYfCXq
IHuWgxZnps3WHYFRDjYhKOcyy5NmVdqZYuIctVsH9xbPiTO+5fnElEUXGZe5WKd4y57syGZ65uM9
5LCWLQDk0VqTRGgTJ0HyXze71ilT8aAZp8w9R0bPOEB2cAC2uJ9dqRhr9T7fuw7sBJqL5y5hC6ie
QIChA7Em2FQTeV6pBfvG8aMDXvnyshw7+2Azm71xYpkeIiMMP3r2Ng/jaZ9NEZe/j8ZHycq1gUnh
cfKesrMi+HttC4m1FhWX+WBpZ+uQ1/XcQj/4OBICcO3UzvzcFGpTwsaJV0lV19edrFqAboDiW4bD
B+Qj9QpAsrFh8/xapI25CrCj7PCVN0f2x+HYo7tb+Rr3pHMJ6WUys42ZNd23uuLfIv9vi3y5VIm/
avYN/3P1ZYw/lz9W+O8/9ucQYGndWY6tfOr2H8Di3+YDyoF1Ytr+Yj35cwigloY/ZbzvUZ0RWr10
5f4QU8nfFKdpWoTEWL/bWP5JlW//VJcK3+flbao43CqU4dZPRaNOrIzQtSI51aBwplertNiiC8vF
zyFwnheszgMb2XSImWTlxrEkUcOuEQO6xYEAO7FnZDa91Zg96XqIyl6PHJbny7Fw3C88pe6GpgXR
HfpQsK2kDRO4bJjo1tNC8ToSczvYng3+loKOhpggR+N7mZGS+zciNlr3ri+7HpR55bRwjh9UAQ57
7QwAOl5IsMriaVniEVrXUSmK/CJGdrAePZctps/tiUj7cLbTMToxCdSV9xDRaV/g0ajUBE85fCfK
UazAeXNucNrJLe19lQmkv247d/ui6j0zXzcih7sekwyI0kJoYnyaeufqarq1zaxAbjENCT/qTMb8
sSrwr/4L9v/yX3XbueKcKn7xAJZLbtb6tS6zuKB18e23/p6ctfzoH8ds+zfLxsAFNG85Vr8/ab/3
3D2Lx2k5fwt4+YunknPuH6Yw8rY4U+F09Ghe82M8n388hOo3/lMJr035rOO+/Y+O2hw/fzpL+dIy
wfxgcjS9JZDrp/hJNx11zvQ6OYwwh9CV+wsTZW5CQu3MvqaB2PaVKIHLuxEITxBj1rEwGfVT0aB3
W5sD2Kydmsc83ZZ2GWp6u6UEaVv1RS5WIlLNWx7b3olGv3XEtiqv2XOtY2uB3QMgQJ0KqlMdUVdT
hwxJhmkgzTDSMhLwTj6qwZei8aqXSszE0sGzjitg2+j9JdO2V3gu8jr3F+A4YVz4brrS9Kq9mblR
vW1SY/mR98TDlKbrralb/6mjJQcarFpiztvGG+9DiKRP75PEGgjcEVcFdYSqRpccQrNISwhCdelB
ZXObt8YTEnx0TgKNjApjLQt4d2vIm8wnYbF2kLXZ5lcVbHMAB2ZYHwRmvPOyDr66SypiWRrdQfWR
epwHb7wtFGGejRI4zoCFyevQ1Hx+jJ7BU+Jk/GqG/uTPuD4eDAQKc/OW1DFXoLBw35PPW71QRYt+
Naqa/8waJamspW2/TiE/R7HNG+BEzrsdgMPeChWa5yTA5Yi8w6GR7PjjeF9bS8CslyqyPxPBZ/cz
e+5X3SDUtWPBKC0iN7pWKTo+zOXkEg0xrNsg7o+qJP+yiDHAYd1fric4wiRc5WMO8oH7mr/59oVm
DBDh48VEqprd8g1ztBpv+Uqb5oNDyvR4GvC/ys1ImmW+gV6RxndGjsR7VYK/Q13SR/zpNRkhlYQ4
cl2GxOA9fsuSZFE3iJYx3DDe6zZH3rJk1tCWdhoCEbN8NoByDvPXiLS0cCX6wn+asuG+nRt7N4Hq
sdaYWUg/QLh/5/aYdRHla2Ndydw8FxY34IKA4q7NudFTGLXBDtMVv2kOTP50I6YavBNuIsYI421E
1URzoe25G8x68RL6qnXV1p9sBRZQdhZJP27LIDdsuPnIoIs2Qc/WtiJRs33DLIwWTLSVvI4GzUOI
xoYvuKw8RPieHy7bWFJhTy8gJcbr1IfuuO25RZ2V5LE8lehTrANBEepoJD3em2lQvO947kiDzRlI
3ysB2BoaNx3EFRlN5I6Oi2qXeTzfXb/cJ5M/Vi/d8hV5qlXH3IZM4smGX9Zi5dz7tulvUZLF+6nv
idWzZPUC7DF4er+FY8Pl+qYN9evysNOWr14Cpx/vB9VxSQYznG7fM56RjpDmGzEa2pG67cNH8rlw
S3akWleZxw3TQVW4zFDGcAcsj0SXVfEenSwXDwo2X7Zg4WBv1C/Qx+uDtpmNb5zOkWcLCeeTkYge
jlCTEFeZaMLIshoPH0hJEotnughwXe2h55ye83EESaZxM/KFLvMsngchuMEMxUPepBC/wQtb8tzj
/9iTnccKQoNKHd2o9E9DmfmnWUMMXrXxxG8ooeiDegZBAxfWbSJ1m7xn5Ro1zsFtG87+RhDzfCA/
VMD/SvyTjedqo4bIqMFApHxeNTKf283N1EVbMPM8YWad84YAfY33uVkO0f3UjNUVImV/G0863quJ
Zzn1WZ69IjXQRsiM3wOD0DqiGINo2rJkCJp059auOq4gqRD3FTc6suYo1S+pCPTB55i/R7Rqnl1C
Oq8dKqYAyWlSk71FMLR1GLFzHdXMBx7TlDvK8NGYbTKo4+eASMHqIixdokVUkWfRBVMiKKNijved
Ra7Ruh/4lrJ4CROPTZZmSda84tBucYMTd8zXWjeZ/SpQeUGHLXB+6W6SZxIfFkFCDbd9GYJxv8im
9bclMeQvAwwZB+SZltcxqKtznnPmpW1QLYIwf7lzXCCj04WV1Px6ouyatzAt430c2dzdPi+hlnsP
cLNMLq2qqw+dXAa+7/e8ZVr8kGgXC5sJfgVULD6D6y7uiYZGL8PnFMuy1w9St3c90LwRiEzD+lY3
rbfJIrXcj/6ELw4Hqf8E8Yov8tuSljQyzjeVO3Ar2YFXd8fEa9Cl6XfnUyUNeWs5PF1ZlnI67gYu
r8pG3K38Xd571tNQtCPkMW3X0e59ZS3LSDoQYDz9JGNYtU9DGE7pM0ZF1onMWlYp2Q/MC7F1v/rZ
wECp0/mdjDpzDfbnDZ20f6yratkMYMawOUO4g1QDieN6mG0WMkZUPMH4sSq5GiOgbBHavGg6sPyo
HFteCO4TqQuAa7l2ytm/zIumBU/jBiP2bVpX2d2cMH0UceZ6awgs4RNbKWnWrZ3zFRWCpyZdLIZU
93RpoX0TsIielumw0rXzVhb5UxnK+sIPxk4Mq8kbRuoQrOimhYXAXzYikiCwTE3oh9hjvFsmiCLg
2e0VfC/yWbSU7bVNct1l02Gh7L0weoxdbcMyKoKPujW3hlnqU4M5ZV23iyUMTNqw6nKZG8Ohbadj
E3UVeRI+3YZb1NyYk/z2GYX4rqLhtTMc17+trH6V5O59YFq2eJ6cjEQx4j8B8x2RFeWsqglPuOU4
+KVEZ24qgXwYAwH+erdpkes52krWuBfyg0T6F61iq8LZZqVqlxZmD30UACJS2gGAepTCt3eHqSd0
hGbYbnIQ/Bx8bst6HTYdg1g4/P5lq6z5xhtb96JJfLa5eERAgFGWbJlBPqIyhnoE3OQmnlPvAp80
d6+0KEoir9yGXlKhkapG4gBTF2vd2DNAJXZTrRrDHl8zq0weJzd/JOJQZ6dMN9adTgkzMdpm8NbW
XPs7r1f912aq/U84XmisDPB0Zm6yrSbbYePVU01uQ4IAoNf9ZhpbYgC8aiQByEJs0JGlfeXVUTJd
cb2ct6T1it3cIbQARyK2YTw8+ktmE5mh9d4Nho89uis7TtxPAGum+8ieio2E7L5TKY5ls7XruwaE
JuVP4WztMR8/J515NpDaryQD+ysvjuY72In2unS7fFcCTN8Hfk/X2Y9ReOnmrP2OHn3tUBltm1yX
VyRNL5qpnPpkiKptSN1w0eW1xA1YGwfbL5tj6nfWqVQ4Q7loxban/f5AfEMJLlZ7W4PEgVXCisVU
KE9vUcDQMfcu0MjJGzaBJSERdjCBcs4xQ1J/FwI0V7ACDiYnwj2jWWrWieybEZvsAX8r8Jx4Ml4a
Rk8bOjz+1ZzYd11MwA14RHGf1gk+3ClrH83RNE5TXmW4aDyXnxuoXT+1fUYTNjBNWppo54DZtOWH
ZKHOgJfDm8T9baZnoi+9gzso41rgaViz87oAt6xd5wKmT7CcHgfhuq9Gmn8YDZ1CeyMEYt3XdbPE
6llEhrlwEPA9dnuBlW9teykN7CzGSMhwhHSoqD3iFX6rotDamuAp17IS2bJayeOELfw1qMH5boKy
GT9QEW+prmsqwVgUmykV6RaLr3MONCsKK3+db+nQxysjNt2DaEa1J5OFJFaThqE9EMNxQmNEI7xS
XYJzvnHQmGDNtMU9QRiZhLeU1Rg7XCDhyX0cSDQGMsmt7ODOTR++sfijxEtMvZk9WREi0MNpCKOA
U36JwmffOpHBwlTHzsGDWPhk0FTz2PYC00FmK6MNgOj7OolwMBIniIOO5yJW7fBUOV52nAF+roib
SHdYWeYtEEL+b+LGO4eZ/+MQjh63OPnzlnGBGYjCj4U0R4pNTlx4CnV+DeyjeV4yhC7z2rtyYE+s
2byCh7wzxQfyZpx6haIyQHqk9US6iFN14pin5FtdGFrOJtlDKvHRKalOD0gRDConsPkquAlaH9hF
xfRsxZSh9F4CnbGoEzM8VBPL9wRrcWXLeqbRmuAqxTWfEdm1CrEgDxiybdGpFy/K2XWXoC6HWA9P
hTukFHaOYabm7+mxz1BvbWAl3D2mX2/tjho0qiOqrWJoKESc3mJvinWVTRdCzuP9ZA7yTC2arXM9
UJYzBqi+iZM/j/8v/AKcLQPoU3yPQ1LL2fj7sSe9MNuxbEJXPdyHdLF+nEO6vagYJ+roUDkhGyZ9
0XLh1g0DNAgWadUUDxUAdes4leyim5E+VnrRW2Z/31k9+NqoR/cqxETxziSTbVq2VNVGTE2HSpRq
Ig7RfWQBtDHEMhw9C1+QR2+AnmCndOsRnjp9irdvNTKd/fG+m5dDSTFVCGODGPpBn8zj7bKtvMZL
qnwxNx7ybhJRKMi+a4D8xeVYbJY/XQ7SkKXtopJCsC/dn+bcvU+Gs2IoQsRPj8PGn8auISItZQBV
2z5OIrpdxKqNjX4lzGS61y3yXR1xKI3Lsb7P0ej+zTv6qy8ItTEgYwvNAvvJj1+QYePU6NgAQe0b
1D8OyoL7lt7KU0OvggwPwq05G5tm82ZJVx2rnkK5wJqY7SXkMgL5mmo5TFCh//qN/WQjhexBZpFF
bozJwJcGzE8KB2aeWVy1cXIISp8vNC9LNT7P1tw1HywgIpq0F586tiyYfjgrUqri/a/fwF98VxZt
3OWNLJ5ZZS7N2e9G6EPkyHI22/Bgj75HuEHRhPGmA6ViXkNbiEKOKUG1j1UchZdtFcwFfdAmuA6L
Vp490clrZqKcR379rv7isjBlw1bLgY/R/s83EEbugNRsKzwUBocG0JMj6qSYhDlqeUKo29ikZu7y
mbLa6MPq5dev/v64/vg4o05HCsL/OLxh8/3xmhSTm8KMnLkmU8YhGm/IxBilwb6b8IVEk41tRA2e
OqduYBzlcnArLLir4Hd1Zd5YztQDPRFpG0aHdum9VJr29legbZx+C0Rzf3O5zJ91EKw/rulajqRv
YDm+9dNtFElDx1PvGnsV2ayB0GKK6MLrlqNOgQvszMLvn0hc642HwpxpnsBbYB1A0z4/jD5JtQ+h
wu23tmeDJJjM4l9ZnfhzJLYiJACRI6Uyq+UZIatiPOEqCeNDiZUsX6Py68NtSJ7OYZ5yXt020YAi
mZyYo0Fwy9/ev51/R0F/NwpijeBG/L870TcwPX/oP3/7gd/7z574zeYxFwIPPC6nd9HW//afPdwe
LNjMF1gIluDZP0Tf8jc6wiaPgnQd/kGT+c/+s/fbItjmllMm9dxCEvsHhhD5c/vZBUnmoR1iCIqG
6B2M9v06FAxGCNrdto89+WjBxkzmFI53FVygF+/XgHiaZx/FCnRxzjzwyYMLL2urFx8OyaNd0Bi2
4O08C1U0z+HIYOW7K/kXW9rPCxLvzhR8fN6gqRzn5/3D77w6YMBqHZPeKl9tSPS3WHiLJauS7UTH
2bT3K0EIRVWCwP/1a7MK/7SfQp60PR5sxPoo1N7nAz9cm4ikaoBcGl9r8CHXAf2HoYv9q9SvSwfb
r+2eUEkVpM5Ojns5Wn78SHxj/HGci/nN7Qih2lTzpC7CjEy31Oky0v3qLt3WunTu3MhDyAwY2z4G
Q96eZKWqnSUqwtMI/lolY86Q3Oqb/CYyJ4FMVvb46jyqw9XA4HDTdTMiVa+LDIberTNSaDjmC2oA
lAi03FbUGeWl21gY9SiK7iOyYzhJWQVNtVbBdQk1KTOYaCMO97Elng00BAT0uecOYFbGqVGz7LhO
VVzXFtuAES0VZ12q/jBR/6xT5NLAd1qYQLOLiYcoTvI6K0h2uJTH6UMBixjRMTq0kz0kASbxqX32
SLJBBSQyTh1IIBaWOAA+Ktt02hG05sBfAAdkWCZSB1ST+n455t2JJo7lJkFATPCRcNiVXVFvPNol
26FD/73r1YgrOOZRuh+RoIzMyjUgr5lOy1l2ZbQtWnfojgsynxwTs2jvxxjE0VqqocHk60ixo20V
eKsiaGnDg7Ki/7O1wnkJmKppdIRhbA6kDHAsoRVH3FhFYs/BJicYJLNF6T7Y9gc3mTwcmk5xmxb1
iMFWgxLobCpFa0lIhhI7yh2yqXpXt4PNvMI09rRBwzcdmf0uFTF2iL7f8KT6RLi5+f1sTr2iIdsl
F3PiJRvPbt3XyG2rA9mv89bPqvYwxdj9d6Q9heS0JAiI1zSwxnbd66LZw7aQl4HhgR72ZPAEuIFT
xBAtKFzXjr5YGJBuZIk2aRUXbv6FnW4JtJq1WqFMI6oXSZImS7GfbbVyXAIsFzrNQxQaibom16eD
UUQgsjM8kAsZj9VKu0UJ5o2RSAgRK0A256H7fysSKmFsBHWyN0U5vNEOzZdUTvgB0api0CquGu3X
kAPjLCPtsWAPvGkagjXmblagH1TSf3BG8LmnyTbLV4J+gT4HfgdlzJXaaD8XQZdkm9pvNUKflmD4
bUs8k7Et0bVBN5TFxCDXbeW26ylsHiYF9/OAnozpsREUS0+wqPNwU3dRWH1kAMBAGknUAr+e7II+
zpCKw0wjiK2gLU51NMQVgihVvjYlVetSqnKrj6I80ndP7zGfLYsh/TnSa+LiJpk7oOZdqUkOMn1e
rV4+2xQF9gMoCjnQg2mC5TBiNc9t7CQI8+Oedz+GSHB1Sa52XA4VrQS7fBnwzTDRsHtaDdHAg7xt
aEQZq06M3SdBipMgBrG2SUMI6PevK7x6rzR1fXtDX3HevS/lPp+czg49l22bLBrK1Gj76zE2Z7h9
yoBgnQ6K6O39GJDDBEzCsuT0ancdh/0Lj5w1/pGGvg8wArZ3aKGRkvPQfyhCQhQbggXs4hWySc6t
U8/NZVnPzrVu5P9n77yWHEfOrftE6EAikTC3JOiqWCxf3V03iJ428N7j6f+V7JmjmdbRHOm/li4U
MlFDEgSRn9l7bd4xPWpl7KeBylvr+kkaxiNyzw5onHXSlNVpKsDMmCSimqsqfli4CfP7VuVkPbNf
rFTgMYE9oXpBKYXcKS7OBeQoggt4B9y7uEtOzK29kXBnXBGUiyocghKW5DvzAJLUuDgQRvKIHEHk
nM5ibpjteO0mbtzpM8y16hI7C4Iez0mrTYh7E2A0Xr1s6qrfOtG/ynlyTiPTLnUQ9N2Pg5PLPDDw
c48Hj9EvUjQvIUDCqrAK2CoN9wLW5V0sx5D5joGrKiYT8MVizOqwuhrUVyy/YMxGson21ZTt4Gmi
9c+Fms92nla32LNiAolWPEB9wyBibrxaIa5sxa00cmIkGBFh0uhC4yXjnFn5yP4S2D6gso1oCtfa
OqpD58ZiFr/l0oPUPJSThOEhRidt0cuucMsiZWOw54HfFbL7+N/C8d+RMNDAiL8tHJ+r4V9IGH7/
0z8kDN4HxT/KdRzHRD1uUcL9UUHKD1Jhfv0TvvYPAYP6YDEQQdKJkN+Gxkpl9YeAAZcxyn7lgk/7
3Zv8HxSQiMx/qZIoVLE6Q1FGTycFQ6u/dm2g7Dnv0qRCXe/yMPORXU9b0sL8Q4zwZg9g3h748abe
I3AlWlYrKZPL5BBEO2LO84JWDuyYwkR+hHe5PFSOVT6PnRO+Q21mSU3HVzPjXNURzAoPT9To6jYx
xiogaaCat9OcOUUAVBc1YYysCvZ+DtAvExW5mjkuCsxBTd7sGj/h19EuyyRQCTgxOSBgcH90BdxG
FvyLvc+Mzr6PeQA9ZJC2SXWYR2NnNoaEGAQCgWJIlbD0ZWzFVMtdTeTS4txZKIzrbW+x8B0KKW+m
1ZMnf2YGSl5nA5Cq4E0FTRH233kVcCIt0ZtiSw5EJzkfm4RkIvhsP/fTHJoOQU2cYRk+qUkdE/LJ
3R1D6+JHwhd+VPSyDw7hFmCd1iT8tjqKrKeMsflHwEsu/1ze2Ucbd+DHcjKzJ0xh80M4J/H9NITl
S01ReN93xJ3dYtKKVGAzfgRtFbse66UiFyGew4Zo0zWuvUei2JZd49RcyFSEcHBMmYRghtLZJYxo
rd9F5HkPYc7YbUPRaIqApGq7DFhuVXuXLIqNAsIx10V9T0yg/6CwzEAMxh177Lh++5Ej8UwEMvy7
ONbjX2B6czySQkLwRPXM7sV7NFhCXVJqhS35PgqjBnvkIiSFIaTiPzFilzdGzu6YQrq6z9qGVnu1
i2XnuKm4sbtp2jINHewgocfojqtRkGU+CLkHn9T8Nq1F87nl0fixNhcbu/baKEc/DTG+GwWutD7u
HaK3F/9xrllYQAv3ny3CKB/J6KMo9meYtVuFHNkK5462G9E0A35K5S+kz0Lj7IR/rmvpRvthMZF0
z2mZHEO36dfTMOD3OiThYJwthtUTm3m3YKHJJJndAX7UHtJVpig+p3p4oihUIC/lzHbLM4TciNZx
Xkux2HfxzzmuvA51vZ8TXuc67o0QSzP7NX6fBF/Hwst1RNzoabFxHRyjWmaInF0Hyoxn9HTZcz2C
r9rr1Dms8APc9NdxdH4dTSPaYyit+BfsZD29BlVmPC9T222tLLxziwK2op52x4y9yeWJzkTPMgpP
f87FrZ9T8qgw3TJw9fRcSWrfZNX4LT1bD/WU3dTz9l6a+alZo+kt6S1Srf24uqO1aYiH6p9SPbNP
sDZyjqaWIFKVe+jNcUg6PvLzNoi+ZupftS0LgIFxSE3zxF4AfBYcIL0rAD3asTYoeQ/HxUxYJ6BI
HIKln+dbwzPTEzkzxF375VO1euceqixdqOiglVbzzZQQCeli6dvZIKYIRZ0Pk2Eb39TKkyYP8ZSG
62H2RHpYEov8srp3L4gPnhG9YMWIJl2bqzfRtpQkwwDobBmq+8kzn4QEGEZ8BF9bxwYoskm4GXOY
rB4z7j1jwm2XqvLWLOvue7q4F3O1ws9Ig6fjPDX5c+mM3n06Vh2caKyYdt6ND2II5V4nZiC1IJXN
dtZL0nhomG2ya2IgSHtwOGyUDf5KZCTZYNOoahZJ6+cqBLLLQvOekO+7fspCKsp43OICaA9NSBZD
6hjmHQTU6d7poEXjif6N0qM5EBbp7ZJwCffMx1MwrArGkMADtVYV2/BxBPuE5gvuHZvTwY3edfUX
ELaGpMZlXYg7nPRJAmM+4qSYjmYR9a9YdXtujMk4RO38Y2id/LCwk9z1LZuGUVjhOzHoRkG2UgzG
P7ULMnmxyp0Gh8LqKAtb3ZbIsva+31L01lC6D/WQ2TdeyPRtNgz3cahj/5CsHE0ELCSARW2wnKOz
uqSvNhhMGS8m6c5rkh7wZhO++Y3iJ6uKcMfZG+O68ZrfyiqrYCKTBf+pZttG/Te2mzCxvH2BauJQ
rSNiuik0P4JMNRD3oeGrpnK9QMypbpdmao+FLLxHyf9x1zmzcd9p3yqTRHMrfNbcUUc53aLnnzfD
3GfiRs1pdPazwvM3kKsa9vrJ4BLfKQnDaxwY2gRVAXzDGUEYkZAXiR1mwwiXlCajZt1BkirZPLWb
Ed0Z0UURvrdpIMy/9bXZgQLvyiZIBrjIJjRAJ0yrx3ntzYtMszLwMJow1+A2sKe9OVvddhaxfbRY
TG5GooVOLQTq7xI8+Xe2sZrRBWpgC594InmYee1Nqa2I23RpcBerRLxW+F6fYpDV3zD7Rrvab7xz
E1rvhj/8SJIy+sS0DGfBUprbzlavpa0Mdr9dtoWoN25GwcZrXZrwNWrtwyzT99AZiI9v1GGtiDpf
Q/D2Mlk+LePiB31eWYHrghEEDkYFbp4yqNm7Vlj19yh0R4ReRhVY7N2OozWUFbHoi73DDSkecvZ1
u6ybssdSOJcyoissGNvsit6CbGvB+ei3U9xO9a4TxXqJlj7coTT+NqTxC0lelFLUF8mKhH+SIxtM
9EqBCk2MkOSosANUjS5miLXubQr/mVNuF5chWKMsezEsB5I7jop3JM1MgxPP/d6K9gmx9A9cVfCE
Epa4hvu5RC8SkAAHwCUz3Rt/CVd8WwNoeok5KSJxafWHGxzzIc/Out6hkwalFo3ymM5LcZJjja0b
1VvqiNdkWrJzzj0P4NYRewGj5WCR7L7FCHZox7y+qfr52V7jbk9EbLnJR+0sS9dvCB/sbS+H6jn0
5nGbgK/F/1TIJciXctwpp+qRfnTFfh5wQrWG9zWMrE+oLsLPZqPkPbNQNoieemxEz32lvhZWIU7I
6QiuARR1W5djdTs01ne3mAi+E0hEM0J0B94S6tBuOno1RJbOru1d0sQ0Wp4TH6hY3CcB/y+gG0v3
JtXjvVW64QOErpuWL52sYSRK5iVeOoJ/3JpbVHhRsMQzpEiRious09c5q52nUMNY6ilRwwbES/U0
xAQppp2xcSHFKbD6G5sj/Ww0nRN0zvrWI8nSxSZBwvd0sdHWnvxbuvQfOPOPjVWQN2CY9+HU3evA
SIwxHaIsF5NI8d7mAAPWbn6ZuuGhFj1w9PKOao01mbNiuulRXSwL2IgQUxjkQn7myoPThockUXj/
XFudGct5Z6doMI3TXVsLowrIdsX6YLVldvvfxu/fbfxot/71xuBn4xd8yar+L8p13fbxh7+3fb7z
wbbZaytc3QqrrY4M+b3vA2r0gTx0T7L7tt2fovY/Ngfqg89mwGd2DWxX/okkhUfc9tgpuI5kb6U7
yf9kcXBdgvx522zqRos9M9xfwZAeud1f+z7f7Mo+DBvjlvHQ+IjNpNitdqtORb5mO7cGUomC03qS
ucNopGIOLXjoEpDnUdVk1fQCBLG4lR0mC9R73hEcG3H0qBbKLfo1zIMwOAD6RU9RLfFD9YRX2nou
bSOsG7KHCW3gBmwjuixo3hu4wGTLd7aP01Ybx+wMm2Fj59ZzX8L2qGtLozGj4mJPY/dSSp8aG6NL
sBBU8s00SFj05Cuh1j9kTYCIGw6Piw8lKsWMeWgmgIsbSCHFU8Is7wYtMM5KF0UH0qEiO4DOToI0
h+myTI57KiLAkCmj8Ru7Df193w08PbJqdYKIy3lpHcKpEPlAAR5neqONOzeS1sKEoLKittixAqDM
Uo06m613zHPrqTbxccveF3dFJm7LcC6CdGYWHXno5bIYAyMKpnDfI2PbcsNUO68U7aaJMjAdSEMw
bZLAXRLXtvZ2tneV4d4UKekOIdTfzWC79X62IHce5xL3+lZ1dDZZvj43ipN/WuI32lbrdSqUc5pt
d/xcigq2DCNbkOmyCi9ATyGv5BUOQH+r7bTm7ViGcn0uWzj9wy4hLtH4iqlAuCuEsMFY94PTpZTl
ZdWtW1NV6PUMuye4hMAbZAmy9KBSoqHbTV4jZ5r2sZkOBVKuI5ldAHyKkmIsYbV+PxdM8w23NzlF
EqOI+423dnLc9FGizm7WQikWlGI7I1vpYvvR5wGbDnZ2MZZE1gZSjnmOgLXXtAn4kdM8MWKGv5WH
G4kubOxcH2kNIdDljRuWvdN+rqxQPbUrj/yMw7pKDARyLYVqOj2yPSgOZVN5bnRPisg4Tnv2K+aw
HmzqZ10z0vI5r7DR4H0Y4xX+AR0mBwVi/QSDkIZ15YRkjDrN+W5KEJI0++ZKFBEaLoL2c36crsSR
5Uofsa4kEmBhc5Bc+STGgHceSTLYkvhKMGE+SP3Xa7BJJjTjpPQb+pSoWYOqscKnEoZ+veVJAhkl
Rbj2Fv7kpaSLJbaFxqis4+SM+/xKVxmaGL47Opnyhsjm+FhpEEuyIkcECgyepb2SWuCQAlG88luU
Rrk0GuqSa7xLo0Evjka+4Gupt86VA8MbMO+IX9TmSjAxswbGJBod43Rt+QY4mubMvbJloNzDmRHw
TE6Whs/EGkPj1S5EGtVpOk2kQTWod3uEABpf019JNqnSVBtxNdxq1M2goTdMUqODy8g2FqO699Mx
egmvkJwrL6fR6Jz/Hoj/1oEoTT20/NcH4sv3svzedd+//3mPLn/+1R97dPEBAxdand8Ptd9PQt8E
qaYkS3JW6dLj3/9nhy6dD8jCoJfYlsn4VJ93/zMCtT9wQAK0wmWp/mMqPVKmX0agHsFenII2ZiIH
W+Wv4V7u0kojnlR5MsB0ifowMhJJx11oTIQRE8PgCQ4o15rOvRY7Fh15MkILIDFVuMemsJNNqEIC
i5jjikunRZNU7NnO0ULKKHKgNEyt5LfhzJ94XjVkb0glv/hahmlpQebgK+ZcWqQJe54I5BrZpsRJ
wBYvCgCfNVuh5Z1IFwc8I6bJvJNEDHKo5m6vGNNsc3CBPBiX6pNdNx62rq44DTwYkdM7+6Fj3Wz2
o7kd0yS6J/HeO5ZLkr+QoIISlT4PVSpihepTLIbmAGF6vcERr6cXluP8Fl5VrfNV4Vq0UXRXsQp+
zRARg4pbzadhaq2gzN1HAir8O6iJTeAVWK3zuENjSVt3XOGsEl1B8xGmZnvARVIep4Q8Si3EreqK
ZCa2unsHRPNmpQ26L13/Jiozwkvn7AE6AdU4XqGNWCZvxy6+2gxa/NuiWthNjW1uzdW2wfzO3Wno
VuMYGiuzQ0Llb/KurEmBatZtbNCidXDv7zCaoDpuPAMF8jQNLyKht7BQeZyjsFAHG9/S3mqg6mKv
Wh/r0eruXCC4CEKtF0eLnRfGz7tuYkcfuln3uGY0KJCg8r0zVFC5ayTTthZPD9TzOI3ezSLpDsgD
0uMwRuAZLD98G72k2vMAdL55CZKfO4aJ6V2kiCTJr7rteUbC7RX5GCTM2I+0q+2+cRiiLYj0dh5y
C109oGrUknCSLqcfED/8/QqZzmN2hUyQ3439aC9Tl5+XtH6NB5G+ksG5fDHYl8tNuSrzzqjAe3gG
PWJVmEiXEx/tdQ1XYeNYSNhjLWYPtaxdaoF7jtIdxxiad0PazdEjJvtxrhrjxiuhDVikgtzaDahR
MgWwi2wTRrDucTDwJu/bTovdEHCjtl+18J65xj69avHXuZX7WAv0ratWv9GyfawHDJ1WHy0/2wez
3OYWbBg5UZAGWJGI8BKsJ2drLR5YVx7RRmabGML8XetYX6q8ccNzg90jviWh56MD/vsJW9+BVbow
Tl0y2KF1yHsmIC5Ygan0v642FqAdaPyVw3LuHrrB8oqvfilpue0SIrfXD68KaP8DoMKYQUGO0MIO
O+j37YC0OS/9mwmIKTv3sEMUXcdOjTnIKNJpy1EeHWubYubVyicbcLsys7KPA3zWlXsDw8XrjKBQ
qWVSdThc92Ks133opOwSyPAJzc9r3Ez91sQGcWkwCrgfqTOsBoemWsRjSSkZfkvDBuqiDrjmCceJ
aBu4wOnauXMVOXc+iXobHwtWBrYC7eTG7P30N5fcVOPolSOrb1XlELBB5BDuOw4tu0TdGtt3E+ic
N3Je1ZcMNRN3CtSW6CTi3hw3ZYMyGHGG/Y3pe58dmKKPLHsWhATBaCTQ30imCv1dqTJekuCbFq+R
FtbJaMVEmXU5AlsTvvqBZx+v2Gch1jHL7xAogmlICSBL/JJMam+xKme7ULzI/hZDiTKDCgDVJnJn
F7dfXDr3oBnmvdJOPNPMR8wFimu8dfBIveQ6oYO6vWuvIb+EfhX+dMAu7tyVvt2cssTndz+rMFDX
2A9rkO4Be218gP3hHSqdD1ISFLJeI0NaoSoYi5qBU9cuS9+ecBFCoFx+VNfQkUHnj/SoeW48/BRK
Z5PwW6XMFCT97lqcB8Yep7n57OZ1unOsbhVbOSGOJMakvLBUrp680XUuvcP6iRU00Sh4mW8XlJ+b
HNZhkM12dOhb5mbkdg+5uSm6dfnaLM1vnFHthW2js5+QWG4Tlv3exjIb8zlaRbgnwd17VcQhP9oE
iXE4lDk0Cre7r3rPoEBczJuxNMOvKy3rwxKKoHOdiHzDNDziWTA/Za5IAqAi3udRNHO16UOrPqaY
727dlRxmjNzeBstIFtTTkjLekkw3m4plPjRFhh32Zu7NNWWcFAtq1VHau5Sh1oPjp+mOiOhDl5f1
6+pW/WlxxgENcbkeFDQAmI+CTdDaGeN2olG5x+Wp0qCdLe8Wq1aNxU+ikGgxuE28PtpMW20swWou
ssL4oV6iaTuuGgyZ+tHB4QPsicAeKUQnO+bRuNqfJA4pzkLl118AB/R39DriOwuFaq/6Ve4yQElH
p2vkR2Pm9Sy/ioIas98+TZi8tSUJ7pk5NW8Dv8M75tztAwY3/0xYFtHfMYwGRpMocmU8XjKwMFvo
A84xX8f3xrOT80Iw1MeQfcUlDAUW67RzqASKlVA3D75PVUjz0hGo228TfvkPKnXng2857RfPLWFI
OVkgmek+th1mnI1deM6pYA75mOFRvhX0rr9NqJk29VyYuwyk0Ck2o49hi/BN4DGneHCJRzAWuWMV
3HrU3canuQyBccZVczeX/oJUodOQ4jaCaAQ5KbCZEqcbwP2vEByw6g1dxPrMxtHnE9C16cbZoZUk
D3zLTJ0gtTKygF0VnkX+hZk5IuKfZk7eKj1+1O3YBwDF1BdrZrg1Y2lFC2WmPAlaxB4knY0sk9xn
ieUm4siLiiSKXzpnqZPH/9b3/1Z9j2AcVcC/ru/fvrdFVfZ/qe5//s0fEgfxgapaAiSn/NByV8r4
3yt8V5Lqa7vIH+yfUyte6R+zLj2DAmz8j77gd5EDwy4XVAojMKKihKmgrP8HIodfSCmw2vmxET0l
sTK4tm3+Itb3BLw3nDXq6Hkdjr04hqUbNfL/EJwyz/vzQM32HEGeCHZXOhKkFL9mW4UDgjTJeX0c
0hLt2Gj63sabw+q97Mf5oXCQmuWoMrElrChw//R9/C9CW/19/dOLo3P1TJ/L5nKx/zrNi6EdwJjz
/GNk+xVDorabmE8hwCioNp5SUha+RH5R+5uuTGTAeZF8nw2mADundWSQsyzeLAOz7X70ctyiRnMz
ZDxoOy/FwZ3m5Kb3S8s6JIrWOxqK8KmA/BX8f3wIF649gw4GkpDM/vohzNauZdGv/hGPmLWbbaSR
hYEBO8Gg+dpIhMKhyGABGMUyboV59S8PHm0Csb24G3wtrbCARHTAks0RCwQS2XU/0huRCTRmuCjZ
NBbJ0MMtWHvWiwX7s7//DPTF//Q9eC5ycM/zyKS2flHTQExAGOBOPtCdegpak2f4PLYLW7r0x9+/
kjZH/dltoW836J4SNCUQoH9qWhW7bAD3vNKIlfS49HjYe8drbtpeNo+mQmfx96/3y4/oenv7CKlt
zCXcZJqv9Gc1tSW6siSSlNeLkvaRJwrVx4Cm8+9f5X+5frThttSiesRPv3pIfAjmpJ0a3rG1MO14
XLVa+skx67yXv3+hq0fol+unLAZmLj88lli/PhRSHGf+xD14tAjrOa1uB8yNHI7DsvDFLYVERCpi
B8RZ1WdPywiCpc45aW2kNE/0GuttoVTz2EJ7xBg1soepBSNwdpiASiOtwK9ytHoJ9+brGCHbA8Rq
kt9FwAGKBjviRebatnao+5NjZzndx8lZk+Pff0jp6fvtL58S0IIQXE5LQ1phO/31W9MK0CFe2/k4
pWwrCyx2J6YW3cnQOLIKD+XGgVA2kxmmi19muhpfBtpt2LOMBWmm4Wb1lXPWQzwjEcn8KKwsuSiW
YO+uBqMxIGTnOlnPwi8azmysoNuWBOgXy8x8ktDgAPYatBZHJXMCDV8jU5zwqOidx1l2dHoAbdFg
qeOooW2cLvGxAI63k1TLRyhWy7bSmDdwNeLQycp7Ia81PaUGZpkS7jdp2VH4NWZ8xGAmi06Q+EDf
YUclC0tj5QoNmBtDMlFp5e2tY9fDFsYFJLpeEJqdEXH+1sOpyzWwrtToOmrA5dtCIjh6IMB2UdbL
gwpt9GmpQ9zqytowMDQMT8XSfGFRUnx0ozj7UYu4mjeZ6TMj8lv2vZupotOuynj+5KLrD1yN3VO+
n5/SJZ1BXvjOvaPxfGD0Na2rSKZ70JVoEFKNcYDoZ2i0Xwzjz9CwP4NZLZmfCWp+t70hnIN37YiG
AYd/mkejvIDFBnQxlxMcQY0UNNzyYNbpWV9PdqIpY2INIOw0ilCAx1TAVqDexOYJBmxxtjW60LhS
DAUK9YsYDIqwRU9dTc6XbVqAPkQZ652omOWXloDrB3CBXXnqSenYNm6Htcvek0nPHaGRikMj5ZdK
Yxaz2ALQUc/A0SurbF/LpRu2VUb4KV5z9rsa1zjBbYxj+WiFYFN5to0nNvzLZjEgK2n4/DcqwCJo
HVE/Lm1+l4TAjTE10K5G+RAMIdBISmSAYqZ5U1vAWMzItvGEz9FzmUZ3CIveY42fjPvefAo1kjJt
nY9Ln32xWEgECKDSraEBlj1Aib1sW3F252EisB7QJQFbIC8hAG2GFMwE0zSgPXhieUQByRTFNTW2
0sojEJoZKeHbRWM1DQ3YrDVqM4ZOuEVbiWEdS672eI2TG3AMZbhUPQdW55TgIIwAeLZdZ9wqlDbn
XuM921ktX9KpMxFWdy7z/ysJ1LTS+n698kFFJ1hoLcI+xeWcH4UGiboVPxfHoNpnzdFYK3sca2LR
xuyr2ax9HG5pBsuv7WhHn1IwNt8ct1s+ybGdbgrPG0/Z6MNcjGr73JoETzW05lsUDuNpEPy+jCUD
j5QvSyQ3Zup2AoyR765NIBoH9AAhnsiR1vnVHs1yz5w4PpkZWb52XoF9XLDH+BL+jHCa8pzMGEkB
7/eaVF+e03LIUHmR9XSDMygLnGpYDobDSKrpzAzA6Lj8GFEMVReQc3kQavfQOqIDbyuLvpMI4yCJ
ODnEih/EMod6Z46TteMTtzeuw75tQp4WWLG5sE1DH7P6k31v8UO9LInZDEEWYjTfmMQIf8cLNKGF
NNfjguvja+wiOkPl7r5dXQRkT+KPNqkv8qqOSRWbqE5GSr6qwh3jROyFghAQUrMZBL6qGTbvU44c
7FOayizIzHUKUMHOD4aqkXJlQp4mG5BuDX/greo7hHMJMsbViM1jnoKSSAlP3MAmXe+cvMJa4du8
r0XWFxmv4Y1LyN0BVBEKUkcqsPeV7orbkU+eIR71TfgiapDwInoiOmxmAPerW+NaQGXG31h+juXB
cRB9tJJ3AoaLvMGx5yMxLmQwwzos2vZZqnasXtW94MFAxhcaq7q31qMJbGvru0N4Q62itnXo+Ag1
8vZmJC9rI2S8/KAGHt8SzOc7WVnNTbqQyIh7yLYOwiyaQ1gaihSwynhaeAHsqTkn74rSkre9xOod
MzsJ1ViU+ifTxQ+N1n14ak20gC1RBJ9MT912GWo9d2yqQ5da67ShXpS3ajYPLCYhjraDvIyysfd1
3Mw48y1nO+Ypon0ZxrBwmAOHhrWd+j7ZqGxSOwY0yElKHxlRHI2Hth6X+MDld7OvLQHc8ZkZezNy
NyvWnnOJj6ovWhM1NNqps88kuebJukD9RRhmx5d5suZiPV2P9/96Ov8PTyfbEd3g/E3DmrQRMvS/
qjN+/tEfHSsCexu0p2NRP+u9E+Xs7x2rJz+Q1YMgHmW8rqz/zBX0oRFqMb9pYmekevT/sZMCOYhP
Ho4f9/RP5OB/0LG64p92Ury8pGV12Nwq1rq6HP+TwdwbQZtUSyToWQngmBCre5xsYHXWcmnOySRZ
s4bvS+nB3hk0hodnHWokjebBcz5cZOUkTHwB9yg3FOGudZkcESpZMwkF8VOVAHs2rOtOTdi/hJzC
ehTTfCG8hvSrgMjM6BX0Svlm4U18qIuJSmBEK/9NhSVospjC315m9YXIP+2Ltjr1RdZUfRvdPbz1
TmV8z2Z3fuXAK+bvLPJ8N71JyCK+xJW7a4msxOiX3ppsrL2DM6Jtn6Qd0ZNFxmBfht4Sgqd0ZbwY
tmLjwAxt3NUeh7pL4brpiqSxA9eS80W0M6JHMonfc8KUrduODpbLgl3mKOYpOqe1GLZD5uiYMtpz
cl2nSe0JsCEEtct+s4u1vOXAwDXorXagoPl9atOO/YkIbco8Hol5KKc33DeLXiIw+7Y7zq4KVTxp
i6vpYrNCr0rAmfGZxzZHeDdT7JpdzMoLTzhE8rFx3+oOTTWimBkz/toiz9/MaQiaI/Q1AZFqsrfu
G/wVIJCwfby0zAW/DLWtIYM55jE7stF9ad4WrGZ9lXnYRRvoaeLFzxjVQIKktSUKgcM0rxX/+F7m
dCOtZsh1aJLJpe47iHWS5BU2S3SP4PBiHyO60TYgwSbCLG9FmwPpuv7HXKR8r2HNeGDTDHR+IOMK
/kbJJXPPtWaHWeQqI1jpC2CLtgd9Qw0OQuvRpiHKYwbOQTRD9fOqDCcbWiP/jYKSVWPrafW6Xka8
sHbjYxQDMTwTtHEk170PH00TtmrcF93B7pFDbtq5W2/9EhnLZilgNJI8AH0jRZWh2Y5cFJYhYASI
BYeaZngLb2BiQB3t3AhFyLYYQ9iM9CohLtcxKzhSWokfE5e+HXgujpVLOGpSW9eHZnTq6xE7flSl
/TfU+EzRUQ0jxUbFCaeQajY/5GkKIqAyQF6PTO01w8z2tA9xdvSH95gtYOSyEOFs20k7ndeG4c+V
JTdTbYOh65gAOQSqbm0D7tUmRIf/4CWjc76+ouMOwEtGAzwf3RT3ZkNoTAJVH4jf1GZQXFCWsQWz
J2tcDxSq9heTOhxWFAz7W8ds68+NRZ22adTcHlmkKPvxSrrLJPKPE1SKttshrYUU2FiahxnJnI+1
UPmdQWs4H+0+XYy367v0CNCLjvliJ+WWVT5vVtUOd5nBdP/itzl+5TzrmLx3jnYsZsXYrM9IzRlC
Vbn+ShFN6WuSLmZ36Re/uvUd4IZLW/Hf/UUjVn5iGY2K5jsjRphsJ3JzDu6U84RyyWw92oUplr2G
0/xYV8UdmTqGvqeEhUsuUoZXHGANT/ilRTGT3lRnMwiGrJ+C3qc8QXE9PTFunh/GdAH5yZ0myfga
MB3kcYmX1bf9+tx7dCS1womsLKMhHddChzMU2BC2CxLOi2O64W1KGuwbX6YTBzCgxVMaLyhV8rar
P/f20IUEclnz88hdfEgnr9gjESYQbIwUtXvffU0J8maJw6Hzlvv5/Ow5BgGkFpLljdVOLR+GC3B2
mBPw6Yqskpu1UngGeiytMlB+STY3l4xoxplW/zjBmf7a1CkjMVFWntwR24FNwOqw1kRRap9wyXB9
lzkO31rX5QkysI7hBYvpfhKK8GgW0nSTvZw2VsPqgRG/XZ/knMhDlXtxDJx5idBI1+VTPlaOVtBj
aty4tHMEga/u3qCc/m67hbwJ2z45pqMnvuXKXd+8aJjdvckj8NyQzf5dklD+Mii1nGDYFLuFkeIW
8dUrYJn2jd6+g+mf9XgGfMCSi2A3b81GfhY0s/xvc7k3PVxBZWSu36HT4c0BId3dEsyCeXRM3cUG
eBvKz0Tcd7c9NnUk1EydaVTb7I4cRRUoqEJ6p9lT+CXh6p5V1CDma4vvSvkxunCPlhWpdoOovZ+9
C0OoJ6B11rxjVIkAL/PGTpxz9tjNI90vFjLTZ1rK0nGFzRZ0TVbfTSjicOMO4UM5tjxNFlLDicsa
nkRJtnM0kXnR+91KaNeQyHOdlab1GtayesM83z6zHH6I1diAXmIXOkWdoEsV7nPpAgHMB7rg+wbl
+TFhb7iDv2Z+iqxpvrVD72VFqfFxQJ52qGaFt0NNZaXzC2r82GOL0R5P33GuCWkZauuh65A1O0Ud
g983YxMA55pvl5Csl8cuJup+tlz0gGkrNkQXt/Mmxqhb7zD9l2YQh/H0HrJKyrfCHhTi62IYWNg3
OVh/Q9g5wOCm2nqz2b9A//U+JxZKU45Cad4PqT1AoDTq0+gAnNhCVn2fOd5vp3wYLr1lvk+t19zV
TKeJsZ7m2tm6WPrPyKPTYGQo+bz4hn27zKl4zITT/8Aq374vflQ1X9gs5uNjQmoZvJ12zU5RnpVg
I9tP1rKGj3EswoDUbsYjnpjPYy/kNkeJxp61vRk6adwTbYKqw5IREwfM9Hk/zedG20VCtViP8NvG
z0g1wiAqyP7wa1/dMxuI3E1Wxoj2sWvWF9bp2R0YUKsM4sE0HrHjq8C1h2nH5UJqYDvzTd0V5TsT
aGTpVf0aDrV5k5nt/2PvzJbjNtIs/CrzAnBgTQC3tbGKRVLcREu6QdCihH1LrImnny9Be0ak3dL0
XHd0RLfdEokCKpHL/5/znaeeJXEP/czTGpXPlh2fsinrrgzluZ+mKXaQmeZKIgPqLGRJSXLuYo5w
DsWH68GXaDEo+eS+TSq0iV0IWGIzu1dT0rvcYcD5LoGNvosbmnUsfgZcYoaKiZmvnIL6aBfW71Hm
+pu4EGj4bQ7plJA4e5Pls7OakXFgo5FJaOqxUoTRom1NYoM8wbUOqJlNIIl249wFsStug1D2D7V0
IcRLtP3cT9Jv82WGWNePaIdyb9MM8UdBAsy5wsgDdm0G9EZRA35CWT6kWU2Icsb242BXtJtnu8jw
CpjaJN/jltyoLkluS60ayR1TPZpSjmfVOZqAwQ+OSPavmYFG8IykVe/6MrxzenO8aKoh4V9ttznj
YWnvEw91zRbrwrQf6opWcTLV1uWArf4uTQUHuUic6NpD+cup4MJUjsTGK4enZEgomEDQoOcUsKEg
6uXjiM9l43czIue2cy5FU87H2YyB3IZJgCxI8D2AT5hQP5QmyZSBPwiAjXkCtkWUfb5tZkKJXLhl
8HqTEOWzXxa4EtzgqQm58bGZ5QPOHf/QzW2UUWCxMEbA8t6RyoS6IyK4A0c5xDJRdWQtJe5uUTHW
fRddBgxxNZxn6dYHSF0zVjLmU2x+cxJsfeabl6wdxHdKndM+zYW3HJOwL76SIQ7OVobRvtBbK8wv
BFqMitqRa5XEl+g8pNRom32G6GEbDMFwPTWWvYtgIm7R+yL4gk91Bmk03iwAyJ2PrG/5dV8V9MC3
ZUiOfdanDnBgD9NFOcfivggBvG49I5Sbsc/YFlST+0du2WZ8CEWFFnQ02QvSPc4Bi88P8VjMV0Rr
dHs8E+GMaSOI7jq2AddgXxpmXuXEn/xyrGowoRRvIzf8HA9Wfb9EU9ZQCk8ObT6oK3LWvZu2SlqI
a21r7IbaGy6duujPs9Wqi6BK51vL67vHZCov26k9N8Ey79rQJvCwq7uvsD6olfStvESGGl3IOHhi
ozYdKMnsRl+6d5SsCiJixjzPD2Bh4uKSBIXJOqThsgCDcWWTbekV1NmmtMVyPzhm88eclwU5O6Fd
jCA2ED07qJDQWaFHygdplF+VlikZIYIlg/I+2qUGC8sfQd9QkFYVwib5KnMqDSa3UzSLC7Qz/n2N
HqpZlVHVqpJyKvO5n8LmekY0TCgkY+EELQ3YwZIpQqDyLPHvw5XDmkJkDeW0kXkV3dYa1urRxZd4
77xm+n3RKFfXkUHs38Z2096y+p36V+zrDyf529fexY/UwPd9KHpQQAM5tGNJgH75HtqVs1mi8GzW
UMb00QlOKdvEAXV1/Fpd+Zd4wvf93PVC0L5ZEbBq2O+7kYFkM98WXKhIKMdzTi3LPdV59mp8DZrB
rHn/MeQ9AUKn/lVH9+9Xp7cXoEsNXDMkqkC3/344/zdER/uEn9Wg9xqEh9NEYRNaGVuJQh7r2eCq
ovfZDxpTyQ7+58/Yol//pm0U0klGd0tKArJcpCTvOrFT5hm4C2R9RA7LbwfgjRTMz1uI7lnHCYo+
ODc/uqo+E+jKdsWU1cAZoIr9ghb0bP2iW/e+2Ukunhb6Wg79dct133+eOJxQSMYcZnwp3dPkUH7w
0sR+XBSpAqG0ftnGfd+HJFvFsbDbIBgw0S1577qd2K4U4IauPlboGq/wkQNwYTV+hrWCOM2uh69J
YbruTTwGg3OSNNEjIDWWkZTXmZdBml4plBS4XfmhlDplwRDgvaWNvmdMwG+POX5a4oeriL16KboX
EyBwSBWHYJMHW+joBZRU8pgO0OP7JvOea2+c+gcs6V53WHoLZsC2Eoi9vpCj0uAaC2ZO6XEEJj91
Yo2CZpl4LH0Hynehuhfmiep7QNDqgxPGHOP6tuPv08FuYBy480wS1ewbesE0OVVT4b1bjG7oDiHM
le4iiElaUPxFCdmlAZQtE0vM2CMD+P66ALIyxP9T3vy/6XEClxfyX5c3f3+GtIArta7eSnLWH/uz
wImv6zfeF4+i/asBjc7vnwVOy3Z/04VFXfVk3P+lxgkJLrJdWHf8kAtYg4/wlxrHg2DCKQecHRAp
XkDr31HjvH216AAwp+HwgJeHut9mbn07sy310g6MLHFXjoRLbFlfhzsSVCA1YIHvvvzwYP5htXg7
ja4Xg5AHcM8M4Tz+7T2OvdklzKR37xKDo/+a+6GwET3laa9nUD36Y9N3n8Mxk8f/x6XhqZDBqk17
72fw1Mitua8t9w6dPpcOYU3sRzUhkmP7hwY2mJkAOlNScuuihRrJzy//dsrUd+7bLiXqAC4aX9z7
yxMnGFc0oZy7ojQoHgUGexQN42cWSmt9uVmXe35+TfvtuvHnRRkqLlpg6IbvRSJVA8orbkL7zrMr
1gokqye7FFQ1UXuFT02PisJNYVSxYA/MKkk/9C+C2uhFYQieQ0t/7aKhajcfO9zs0X5ZWGlFYLPO
Rd5oWudxDTpJF41DAC7LXDwXFXWsn9+HVkX8r2ri9TbWwjvtAdTw7jsVTwCklPJFYt9RsWSsDATu
zIWuyQXEzj2SXVWf55z23M+vSvPg71cNeT18UDzkir1b8ikk+tnsSesugxX4+Mpw9avku5nN7Z3S
UGbPJdfE81E1bdYEj59f/+8vps+a5wQ+EnHGzfs1bwzDKm/z2bpbOb+pfmHIZJ1v45F4iJ9f6t0G
Y33CjsUOi4IFF8QW93YSiJTfV6Y5WHcusq172uTUoF8zjCKHyKM5d8loN4V+O02qzI0/8bKAmJ9v
gckYv/i6/+nGHUxGDi5YzEjvR63tGnXYmhENdnqF7dYl5qS+svvSHCHrAX3++b3/00uiBY+8l/zH
Z4/x9t6thgQHwxltBLtoZyuVUCdeK7eDDmwppS7cjdRICS9ilK8BEuWIjAFPOJiXDbCB+mwIImFi
6rt4PU2bsjsN+73V06tJkpGuaaUy3jIvqDBbhHgYi8PPb+Id7Hf9An2b7w+xloeJfxUe/bA/zYo4
GgIVWncRpp72sCbIrONm7kvybGRpbIuAzkWleIBlQFxGnGKJ33YqbI+N0hFQae6izVmmBYSzFZnd
SyDN+f7nn/MfZkGdwccmmsOCSyPt7bM2ZnsYReRad97i80DWx2w1FMgtHeXSInz8xcjWK+ibtxiQ
OaOaNRdtK86w91cs+9jOCCXt7iYqe2faI95zFNIpA6VDaXswyTiSjiB1hdAkNnnmmMFbmHDvPKRA
GRtOeqp/cWqkAWv0i2nwEqQO7R9govV5fUQdqwZ5RWkSXnWjTzEdpeAVgG73ZPvc0AKM5pUF8C/P
Qq/Hqh+nRBZr9p+0JMFtI2x8349cgjz0OX/EdzU/tUUitZAT4xvZB4w2qj9WYwIDKfPHrN/ZHu17
zAdg1g9hQvthU/C7za2iArm1M3vcI/fwD5Cijf6IxG6wKFXGyiHX1qO4ZDoLJRAzmYyPjQE4Zmf6
dQ2jM0YIsKVrShnHtE3ejKybSHylHteA+qAT4AZNdTdg+zgHXZldoQWpb8aMWvAuqKU5bBq7MD5Z
UKqhZqriq4nXb1ewD0gAKZC9w+cbkxflQQW77FVS7dKe9fuSnmsJUdPJmlvYtdhW5iQkUd2tOxPY
J8xASmy+0TwNVZFNOyfy/YcwbMlsJbMc+Li0KYZsSi+WyyYkzEZuUaEEf5BTRrpRBVMmPy6I9226
bIOLK5b0AM7rHEmv7HjgjNWM0SWI3RBC00gn06dkL++MCRbBJvP6ykP/b+MNLEFfNrd+XBZyi/0h
iXZBBhw/Bsr11OSMEZ8qCckoOrypLRNsMmwNyG3CaMun05lnXeiyTagC4mrYAup2bwPtnRQMfoxT
lo7Z0mlOQRfR1Jypz/lX4GbzgZXZSqygoTE9oM24RI1K0AiqwvYK+VpgHWJVl0m+adI5OKFeS27G
POy/IogT9DtQ4lCIBGQYOmUMF8cFrxqmm7rlQD2RIfUJvnZ6aY/BvAvYB/yh+rrmzE9r0A/t6GAv
Tv0Fs4P3CVeNBy+nSV4YKPO3eIgy3TaOq5058PWgousrijONtystf9wysFY1V1TNMzES2B82Qd2/
uC2hszMsj+bR8AKC5scqoJtyWVVFWD76Y1SbIQOgULW/K/0y0KZ0BSKeOGdYD5HN/1rorLxmm7up
YWGpU4aCbxfkVth8MhIK33zcPKvkjk5DGRwM6LgXxQLhvKY+hFoEMt7ZjJHGMtsb7nMbTHR3OnrA
ipJVVHycjY5vTEX0dUv0P6Qlk25Hy0x3z1LFqNwkgcVi6lao0bdoxYE9Y79LsUItfKmUV42tacpg
N4UkreDMoHOPF4YpO3Xju8GnebldlHCfIzommzg12a/2OtUM9Z/3PEdL+LQC/zsqPrCD6PgaLvOQ
D3F/X8oE8E3LGxpsy9Lh1wMG4sNx4qjPbOuIIBMkBOSqrM95lduPralb1aQ7cMTucYzhHPEpZhZu
CM7Vsnr+nxicEzHZKRuf104iChx6i4HHw5G2DiTrC4e/wXk0u8ECyBRDMSXQoR3hVejX873tCRb1
V7GVniPZwwVXEfo6YohoLkZ10L20hIoPqDZd67ED+AB5VX9aWhu0zxANoSknX88GRJaqW1Cj/GMO
4p6sdJ2/FMec7weO5DdrQUTpVvxoLeF+FQ0MKccNp8h0dCDi9KQnE5x4FXaPyubZk/3LXfJKcqU8
GbuXtGYwZPqf0I1zTqeFjbwgH71nhNHhPtTbo6bQeW1h3H7OcqCF2znt1P26UVgIXlaXc1aI59VO
s+bHyZYPg1kqe6ENQGssRRF9wrlp3mCdM8iaivAXySKvrxhGfHeU3Nm81y0LT8exfwXwm5nJJrwG
+Yc0IieTbtD5iipHE7KP7JBdeqfTuegSqvrUdpJPPvIzRO/VE+j71pBUG9YNzqC3KvlCe/318OPo
prUiVqncFZ4i89418jbb+LC7sR96ip506bnPiY8k+4Jlhw+IopICR2BUUwaXyYr+ABnJxav1FbLQ
B9M9n6XeBrHy9Ds53QXuRFZtSEYkJ4iAzR3/GsYWCzAMKua2Wh9VwBSiHFQICpgGnJPgm74B8+if
uJ367NCQv0/VoEhlSQo+LV08eaStaN30enh6AJtuTGLYAVCQcij32ch21aXzPVw3U2wkx5KsQ3Zp
omLUosqmYUuVkw8DGZh6jJvrqoxFusY8pv5jlqNc3vc6MRDLMGNkLUMm5cQzhTvC/a+TQF44hLWk
hHySA5+GV0JRAGpD3rBG6MuXE3KBVVVQ9FbzObMQWdMxk0e2++0RKDrfKuw2AqtYyHkOE1vQsCLP
0UhI5ZxVLJ5l0PO+mgX1TztdyKaMPd54KTs+yToS4SJa3XkNAvQs9uj7VyGJG7dxdxuCIZ5OQa2/
oKx1mZrsmqg8wp1CuIDLHILIptIEmKtnU2QHmudp4zp9UCZFLyfLkHfQ4QcgmXEMcYHyIRWi7Ixl
XeM4medDRMppqAUVDS96S+fwdr1DViL2yJ1gBpI1+sj1wLtMRvN5odD4OCJIf0yZus3NxJH2EbWy
9ViDHHD2vd6lLeDOi9cd47psqsVkRDWFgUIlWFUchMRfVTaK6mywUSYPAycZ/dQQC84hgl4L+jLS
eF56wV3kOrmvGXre10rrp2hQzvcmgPlo5zuLcxi6AkWCh5XupU1zXi7b1RXmpJPwuxOGPD5kHUCZ
pJFw9tNIg0alHmoeLxwK736WE6xreiZIYwxpes9/KlZ0auiaZkGHlixDQIL1HgbCVFyWo+Cn8QfY
7QMa1Ykde4QOfLvoxQVAop77ZjszLgiNY5JnKxLrI7nbc15BaV2fF/0AXucifXAfM5t5QU+sMvZZ
cdaxG8U6FHLuG3mc/VT9gdMoulvHp2sP0QUYyOECcpmbX/tDwBAhHAXBh5ePl0mscCO+DohyKoPv
jT/m9I7kKI9GVhHso13JqFaJmNGjQsy5rnqC1qO/ibHHaivyMz1dbcg7jcWmiWRVMGpWNdOSG1u/
tSlCSC9D35PqG3qtpQPgLrbSnfgzxUZI7pjvrRvL5RYYctYjsvmauL4i5s3yice6t1GiOYe6YdAM
Wc1s76TWBywZyx0ndQa1aVgIsBBxEI+oj3jgkKihA2fkYffRqnjBHwyEwZ90MYgFqNogrVYT7Jqe
SaGO5RgdWoPe6r7CpbUw4HpeM6dVXDduFJmWyuVI0HBUg7eCRiX2Yu57UGPA6Ia1ZOwyV86kz7IX
Wh5GKNfzsR/GKvlgaSrCiWgh60aaI5/CC3qtf0prRrtpEcD12HsDm5DYyMOn1a1d4YTnfv1wunUH
238Ygrn8gAX3a2JExpbAxe4I8htMhWRmJz43+x47UBt8NCYbR3Ck3o61wws8o6nDQMuKpNJp2faU
PEN2KEo85RnBlV7a8IXW3rTMF8aQOQezAh+OwxjmXDLO5QnvbXbtuJ1lbVk1yxMn+/mo1SrQ1Jqm
uo5qvC3hXLBfEDo9GD4qI0x2dh/s57nrzctWT/6XWRRTiER3zJ5qcGtOMAXOaKO2dWKUz1cHEnQy
HuLM5uuRZcN/t6HFQ3I8wqGoAE6bwIH8iEGBeakd2eOUekvXJqSN5jEEvzURd2iRKK0H5Zy20nly
Ql7VMGnpX5mSj4cqhWKTXbM/QMjDJ53XxSTCLf15gfuaf6vZY7K6ID/YI/oBXY81+ykKdGrwejCM
yaZtLgucHkx5PXNaLWZUS9TT6JzorNVUB5xOTUhUstbmWUQMvtiLCnbC0ZohhpNzqITN+gkSmtFa
xsxWi0jtxzVBaJ03wyxnckQ26+xVW/FOFHq/2URhcEU2GglDEZKBx2l2m89rEnXdM+9JBGk3vQ6g
TSMDVGXtHUSsZ+ZlqVmBONslR9tL0m/uKMzu7DVEJLH/Q9no5VCGAe/rHUYLK1Cr4sq8CtyT7yO/
PHFgm/tjx/lmA7xAXiCeHw6Fa9sBZxWEhGa+WI9BgGyQO2ZWos7DI/Ezg2UjimxOEmvrQtDweYR9
Rahkq6OsPFLv5KITPF+3zB4IZ0HfeUOVrDQPGGb8YC9Ubx+4cvIIFGL+OCdiuUpclX5E4pDvSBcI
mZ057SwHlJWDDym6NO2tchvjVhoC+jXb6SrYO9KZjzZCtq9D43gvWTgs3wp2ld/rYu7Ybk/0gtlX
2Wer6cwri03ZRUFx5RNCZUHML9AEELZtlcGurTFOeAi4bsgXCnZxJtLfy6aPHwR7/Hk7lMAp8s4z
L4Axq5vQaaKPiYGkvW4Vv8mriF9lp1yF8e1SGZxY6apOFtJRU0JUCEfxea3O/EfA/isBO40FKp4/
6fB86/r/ekJk/TcV++tP/qVi97FJC6FzhjBSO66Wqv+lYrcBLsERpOux9lps6lR/dXrM3wTVKbyc
Po5tmhM0N//s9Dj+b5iuhXZF0gG1KUj8O50eEbwthiGtd4RP1JEmP5GiRPf2bfktVi4qzixOTl1J
8mkdVGxlKrvpzg75ybvC1XrlfHCse1qnaHtjsADpnO5ApU3HPJEG8qto8A+yD+UDtQQD41DBthH0
zQWJhKyYq2YG0Vt7GFYlzaxFNbRTfHkYsiHSehIX3Q0cKTI+3NwTuzHEAORpiU4bcbAnTBKZtIol
YIEg/ghzFOT26MloG4qMZMfpyVq1P9Be1McFHBnEzwIx6miYu16rhWKtG6JVh4Ro1moiFnSERYsR
tfceVBkE0Qvcamn6aJBq4y6NmqzbJXM2HSVKuetlUtVm1volCHbjOdOaJnx4zgHRaXILC0UAlV30
nSO17fZ0U8i11Ooo4RM9gWpJlQ9x4nkHxPANIhj+2DfRVrE+fQRl7Gn2yHgduAr3M9IcozXrXYza
jKyI1O0fctSjt1FtOXfRKuSqhRZ11WogUrEIjGUHXCbcBP4II4lpfSNQ+u34zCAnOkRsbg2gwTYA
SESz8/uQ582RsiTVAPRl1pB8iGk4s5wq0y12/oh70vUmd1MRdOFibmNXg2RAAP0TSw9Vtj9C4+k/
uh2GK+pFi7U3RlsSdaIQwMmu8vg+vOFqCexjj0wOFri3G7RyDtfWU1SBLyH75aPKlQtt3qy+yClT
l1aCGKhUYCu9XO1jq/d2RRbH951L/CsKnbq4Jv61vSlWIV9YlIm/acpaYErtxG3uGNHOSPzxcyQj
+061dbb3YgErcmm+9atcsFKL2EdtypyJZu9yZl2RmSBeNkBpiGWYeoaFcHCoaKlbTv8JgFWFbN7P
T8kqV5xW6eK8yhjha3VfzKmFlpyNNGLKxjtrVMFDLlyyC7xqQK/UtWLbjyWPbGpKeY12/Aur7XBj
NLaBy8/85lblF3+a4IGXMCBPo9ZdFlqBCQrc6nalVMFnLCPD42Jo2u0YFXvRYhQGjKPFnOYq7IwE
bEDgINP0BTF/be4sxdFs34HCxeWq1aFQk+y950Oq4vg5mnej1pHmWlHatFSSYUmr6G5EcDp51uel
Cz+bcsD8SNlR+mZJUpBIqda4OBLlxajFq0jmxO+YLx/JTvxmcjyArq7FrlLLXj2o48GHpCC2pkIk
vM0SYR9j5px7fgO+EKdLYK+l50CE02mGbMK+WbgJi17cTfZ1twpvg4hgeExuzedyFeZKrdGVZnfI
tGp31PpdqZW8atX0anXvgMwXFV1CCvyC9Ncm8qk8DpEF9BFeYnZGhJgR9tDhq9gQIeRdd54T7X2n
Tk6ceK192/TTRviGsbMaEfzuylJ5m345V6ZvHOO+Sy7ygOU9ErZx8CK2t6GppkPlEnFNHk/+acZx
sSuBqJ+D1Keq15cb3QJlswMkdUMOsXdHUTrfNwKAtpgIWghGnKZZW+Kyyx0gkQhILsgmSrejVcbX
00j4xHbIloXuh+mdPBwW1zMIZfLOka0W5wGr5q4sOqIb07hmo2w45SFrzkLNnwA8kd/FBvo0w+Le
e/ytc+GZ9bVVOERNea4BlbytW5vSONB+/5RT72Omku2dE0rnEZIBTCbBziTxrGTaKvLVwHJFtb8N
izz/vLD1wWnhT2dMWPAZ5IirJ8jY7Q/JvKHxKQ9U82DdL+NNscTqO1WUkT/1/UPixW6x8dNmwJDT
fXUjQU4A0d2AwYQOC8ILeopKVVDCiuRVWgxfWFjgJPXFeKyWduItJSd22fTNNGElL9P+q12x2ux9
1++u3BIU7BhbDzGtkaNjlOaZymizlVWQXRQ+1HpUeMeu4bRlscDuK79W0HWM8QiY2TyZCpNlFObJ
SUzuTLhFYJ5Fj0+UFTs4dI1pkxFkhee58lMKdcV9pInQfhf7F2zWif+JZPp9oPakI58DtO4Nc+9k
jQVlc7ul3AOlHKRJ3u5MzSizap1+YpPLzCt6nTQx20Eo1tucJPWtWvJw58EdvYQZER2moT3PZdnu
zWXuXhCPz9u4bIgoJsvriloFO/TBTU5ygTOHQPcUe5JqaTzsh3z6oyzdYW9SMdsPA8uNJZNTILv4
OEzYFcoouBmBJeCuh1pf2hX789G7m9y0PEijg6qe3Q9mZ9xNSXY781wvoxmunTSLm9gvl8MscoDZ
5IZ5+GnHThy8BUmlm8NNRE059BzRZ/XRzanHTQPP9b4d0liQtdZTcFMklNd7LEqWJLFmJhWOmo4i
A8SdamXuBX0Oc59EIYfhMjVD49PU2bPapbgkFsJGOu3ayCuAt3NuFQVgRgRX6tha8UOe135G+MzC
VqaDF0Y7g3IXkAKcHTBNsUeY5Kl9U2swG/DY9oNd20aya4ie+91phvn3sjbnS1+Huw0tMW+tMqC7
jaU/A2RSFD6wCk9M/UXFM0ArdlQ6Ls4qmTGD3BDPSofJsZ/LLrEgDM7G02FzwTKkl6VZdvhSMK9y
ND+oNZzOHoyLTgfWdSpoDwB5LaztOs+urJhec2peUNEU0gagUPETWONm52e4sWVD0QQnjuMeU7mQ
mWcuMNInXDPThtUNg20NreUsm6FM9r0toWHRRhswQLNymQcPZCHFHJUA8uv8AQtUzkFbdRZEyyXo
xuG0ypKLJDdgUei4P85lQ06rwA0/WJ4h+m3dL216yD0qznUQ0m5MnEHscgiznzsvS8iDzszsLkhk
e0/xeCJWTaiUlIrQu+jIuTmQ+CyOyxpTiKphJLJQSR9pm04yLMIw3EUd6YblGnRY8OV/WghSPEDr
vHD6aGg36ZqOiAqZ7h+1u22nwxOJaCZH0Ui7eO/MBjxqpQ+x7IBaMPdQTk+uDmMkoiHbxo0ZJdt4
cEhrbNbkxi7vTdI5+v4Tk/eyd3hIZyx8fwAHzHmxOWJu+EYR3xY50s9NiK1xP/VDpjZy8Oxt3yMh
3LoiKT9UbYesX+TJsO+95LrxJnIxdAzlNBBIKRKdTYn6xrvr1sTKjtr0hat5gqS+OUTc6mzLonLV
C4GLyZeQPfdH0Mb+OXJh6WlkoX/VAQgXuyi24vC6ND1nayv/U6/zxZROGhMxmWOFTh+zZ888SVqo
UKrBUn92GpdWMJpvxIuILVhL7PC6ABTxzTYiHDBtaj0zn6aX6WRYlBBc8WmEu6rggZZ+dCCTNwGJ
YS4gLrFUg+rpnXt0287eE1O1qenf7mmuhRdoyIe9N48jNZVxIuIjnu47MIubrJqQg3s5sEJ4yM+E
cswtiW61e7DSGplZYzWIK+2x35b1nKLm7du9IRJxsEfTf0G4NF8hSVpugnZpHhrSOr0t83n2ve6t
7jGszOJTbJlEUXo0LS7x6EaXWHLMS/JX0TkxXs9mG4s7Z+kJBTKb+mRTON4bC4Q/y3ebvap8i72/
Sb4A6XbbGntPztRcVoeJTNKLrDCq02xiqmgIYnokTNuhSyj3fdNmH9KYbnWmRfWZltczSYwEOuOw
qH3QmN3IzOfg392SKgr4VIv01arXz7V0v9Yi/nyV86fsUQoi49lAIfZPVt2/v1oAtBlg7Il5BDiN
Q6DRZoFx9Q1M2kLwn/P//0nhKVYBxU/O/2n3tYaf8Fbg+fpTf579A/HbKhPj4O+R6ARy7H/O/qH9
GwUtgaSOigBiDa39++vs7/9mImYnmIA/sfGXIz76S+VJwECI3Jn26Cr9RuLxbzjY9cn+R72IZg2R
/ISAmt9mCUf/+Q/6IISJSU56qnhtNskSFJlnUS1clKLq2Utanz8USG5ff/WPvoB/uiDFEHSeWncj
rHeqqpy7buym9M4OGMqdNQIBWbR6TRQBw5yV5xdCn7elDeRb3KDvCp4X8koQAu+URWEmONIglz37
dSKeM91aXJtVnYeb+ee3psVw754lXzWSQA/EG3r0d7dGYCmO/txyz7nuwac+UlWolJQmBU7om36h
J+/npJpARvqVfuof7pKRhIQY1Bgy2vcFnKll5jAN6Z47G1kagdFahkdwNJDamIbuz+/Tei8f5Zky
Aq1Qb+KRc7wXGc11QZ1oTt3zVCPmpQVMR2IzZSbNsLH3WWgrZDjJJRBt2p1K0iSnBlrTtiS5FFkD
G/ZfaPX+fvvUwgIhEHLBdcAK8nYUQ8inzx1H7jmYOFRvV2OyiZz24v95LfycCK8ZwgycdwMqpvRT
JETUEaoxoSdwje6Fs/V8P+i22s8ftB4wbweUQLen4Yq+6ZEl+c7dkNKNo/w8uOcxSr6/Gp1tBHs/
v8g/PTsmIciLXIxZ6t2oRdjm+r1duGeyaOtzFow0MwPSCLcWvbdfqZ0t/XTe35KDpdfG8cAjfC8o
DSIY1QvJeufMTmmurQJKkC5031Z3dtDmdESF4iXVglOV9M4pHgl9/Pk9/8MIxp3NtGfqV1U3Gd4O
mMjGnRSJ3D3PhHtcOnlF5a7VrZHG6BihND7LfZ7b9OrUMihrt768uOrTC2aQXynQ/+kbcF0H+7r+
ptHAv/0weRECLM8bXl74Hvdrn2qFO9DJDPc/v/F/uhRmkwAFLUuL/X5EzU1Ai91vnXPq8XjDlWph
FDNTfaDt/j+/2NupnukbXF9o+qHLysJR+f3FmqSH8d02xmWERmCBXUs9p3IKumSryR+4WPCLsaxz
fH4YXvqSAAl9TX1hNIMnfLecNfkCF9GCS29yFL+A9kCjr5PdfE+e3XyfdhHf69oN5MCDqiCGHVCi
Hjz7RkU7D+cw0Xm6WbbOIK9SD7WgpiC7E1o9FV1kGT9/SNBn3n5mFn5yAHRMLJYOQDfi3ddfBXPm
zhzgLrvCLA/mAquqToVxiK0uHza1WSo0xTQLZY0XP2uU2Fv8sjuJuGJ16NN5xujK3Bt5cf+ygOZ8
me2cofva1bbRMCY7OkOoMDyLNi+Aa7p0a9OzECirzIwfk1pJ42Npl1iBbYAWdtZ+7rVqFbsw0awZ
D3CDbV/dAgVGS4RtJXzqF6DT2ySMWutodR6/uvMTaFxlmIh8W8g0cjYxHnpxUVQt19ACFaHTZ9sW
HuLGHV1QZ1QrYZ8kNSOkcWmhotnrlwuDlpu4XLW5XR+X6PCkVSWXnE77F1Sk7We/oUFxWVraa0cF
99awewNiBya39IulQr4yf3EEB7YJfcgTOc2MvT4Xzzn0ZJoD1KSflRV2L6/OOTEi3CqRSX1tlsg+
jq3f3kvRl1j0aXv7aUx2jt2FRCdNoccKs6qPDBoDZzQNaH4jZArO7M73BXLhJ+Xa6cUqkF+l42uH
GqAXzyeEeXCPsX95skekZU2o5QBku9PjnWX3kpexrVGPGM+WLsL8HigJaLpR/C0g8CTeRhW/pdRt
96XnuUHdpy27rnIVK/Wh6UjKpkOTyEz7++AwK9/XjepEuCgTqYH7l4nemKwa/VV8Z4LCuM9R085g
BgxkQ6tAqk1bRg1VU+/ZFzlPk1p/Q/mjBnO0harni8u1lWygb+kuOndEIm7P2gAC5DIv97JnXRR1
wvtXm7GK9+USWDeJgfB1p7wSSQaCPpQLICFYb16J8lblMJZHWr5PHf583Gw92FgKm5CNLJ2g3lON
nw+qYF3eoKmlv9+AqL9efIqMWytFwk3WrfcsUNNi2alkWHD4s+RD7Cz2cVngAOzsWLhfqnGsHoMl
VddEBxc7KuW1tUETYAUcPU15mRb1CJlASwm7Yib8uFrqYWd2kXgsiiWdNqZAF7vxvUzdBFg0z6Wb
1HiV8zAkU7ejpE47C9P6oh5zELo415OGMHdTI7YZk+RCcmi/QzISYKGPhhLBgOy/B+4C39/2h5tQ
eORVAlAgmmLImZm2i1Z1cUrFWd1j+PgEj1J2B4IFxNcZMtyugxF8hdRZxgdt5CBEYGjw7MOXuxjr
ob4JaVMQF710yZdYK3D9uqd6zmH6Ah1idLZILG8vgm4SnxsUNhzmm+WLoGV26bglqIV5cpcvWJFz
zsL2su0oacpdgNVnC1Cv+pLRnep3aMshSJjSv9CbUSo4M5rnnbYY7Fv2gBsw7eUBuHivJyZUgEAR
7weqVyfsLM0pk4QaKm9Q3yLop/vESA3CweryU5qP7pYUw37TVCkRyW2XQlmQz35PlHCA0G0X2WWy
HUZpHUqO8ZkMDPRnCJZpe0ZwHHMJyJ4iM/pTEAe65UEqJrXduNbffDNdsdMNjnBylLer0hHUZhRx
IbcIox18BGql2KjJ/QMVtdSK1k1ZDx8bUFXNdqy6w0C/CqWY+bXwu/pTWKQ2AR3WfOiMyNkNBZ8j
jPryjlVpIbCU6f1KuO1EMKrJN+rjQrhCf1DdYvlqCLykV7U1BDuy51U2aNgZr0SnpZ37uunt7Cxm
LSOhi4iGjtm2f4mlyYRUL6H139ydW3PayhKF/4or71AghC4P2VUHfCF2MIlj78TnhZJBlgYEuoyE
BL/+fMMlQdjxTm3pwXX0aHBraLXm0r16rft1a0PItlKQrImZ0XNiZSR9LqAWLABUhXELDDlQ3E0f
6H/4OG4DmN0iXsw1zcoppRewGFl3DIZR02EPSwJlrV1E8mrXh0enhNJkDJltC85RUgJrPTconN6v
Ip1XP/O78UAvUK4ebMGnUUTYqpyHKh+D1XnUwthjP+ejctGGYDBU3L0SzUXyhFb0vI5WuoIWo+IZ
QIN1sZzpuUtPSuz1u/NG9zt4fvtT4ttyAOEoOeJl4QkqZu2Z/yRXqTMDVnXR1YXn9VHEjeWPgLpZ
4xsK2mFnYGk+aW7QMn0jQKjMz/N4MKPX93JtKTED21uYPVS18wdqyos7IIrPWrD5UWh6ezRPNYAr
RoBCpmYjKqJDzjL1Ut+bboTIv3mZyZPjjZ9dxOCybKCI6Kj3Vr5QinGBNK+RXJXheZEHCMdJWoZJ
oWVkwQapXbRu9DhcD2NJ8sxAzbbRSxbzjPotT2FGzQ2UKfRVBSLn7TQYFkmij2C5CkYxrC53C2HF
/SRsU0ZZNYILErGdp9A2VjepEZGW6441YfSk1UHs1ycflWebHOqgOGC6sMddxHct/Zp2hadx1Mi/
5ak3p48uaw0R3u7+d54bc6+fQHPBWgnBRw8Mm3drA5oZJtS6rht2bhs9f+VJRxN5dEMDMwIikBvc
tI1Wg76LVC4SSCPXAvKhJcJCdFFq457QxyY5bHoB7415BOvNEgG7SPjjz611tvma+q2wZ6+8/DEL
0piahZS6uC5EUXT7SCw0UAkf59b81igAuF3ZfiYHnHIbn2fmJnxoiUSz0SmEDEpleltzcFFWfpuz
wj+3V7EcZlG0uoL7a31Dd/wiOI9sf0z1sc3xwmdyu5rr47YAUh4BtvZW5uqrp63IKi9nY1gikVpK
HudF2gGFEHQ/F0JjGgUFYKOYEK2W+bm2SLIxhdhQG6bmetPt0UGFOrMVmDoTYjt3Q83Ixpd2I96A
BQTfpesxNJuBAfNVZoo7uWjHD1l7Lf+2oPG6WBUbRHhmJD7n0MgjbwrsjYLazISfNzcFHDMbf0qD
DutQ2oJnHXFzEZzruOrLasM5BXE3M4G9ZixG9IcVD60kbwy7IqVSJDpx59JqdBLYN6Jl9zKWJsJW
oSZseZURu88AlYrvkdVJJ3kXpavcSA1x2QLojSx20AZ1OQsDE7llC9weWuIxRIQ+3UwDM42eu37h
fZEz2gp6GyHT605e+CHockQO0daI1z0dbgA0ZZbJqIEq7IXWMsbpue0pLanNuijoKApNJFUzOOVu
5hk6vw3dXP3wwavTVuNtZiNwYWarN6aSO1raQZCCVCkaNA53eGp00Ld1iKnzoMj+LqAQHeu7ft3/
GyzU/oecO6lzsc1xfs3cZH3nSt4YeUgUqk+/hGKZ3of/7ktvGzpzj7Krk5BeLjUCoKilPKmmEmSl
3Op2SNvxvmUhcFKRZlP344eO3ey22E8q9oft1flwFoSQk+8+btj0ytMpa6ij9fba3fDIRb9zwtu/
b+fNt79T+gXOdAF/OuGeiEl6TAYAaRntxX/ihBMTR04wm5CjcuClT3d7ka07dgKF7CabC3IuOjke
dW1v+I6cwNbKYNCVvKBrTehXSGN3aC9S10komN0mkLwWCct9KHAK54bvyAttOthJ8FXygmY1u0pF
RevwkI+DwKJogLQVmVHFdLBzzzv7+YCDyOZU+vl6q9lmR0YWTWX7uTBY8oLdJJ0Kx4PFa7e93lsQ
dGgIJWdXyQsdVH5I8VE7ohdYXScTArMi+HANoR0qT+rauf0dvQrUFTTe30peIBYsm1mRRNLuOvGC
aTbhULDwwq9Y+dM34g9c9XOp7fsimG4XWeHK19bi333hsLy8/Hy/tHyafvyg1tDSFxWieXfvX2vw
X6W1YzvnHX14mAO399n/+/4Hvrx16V6HX3X440C4iQPDPgSfrNDr/TBvnQVL9X8C58lZOMdrH9HJ
Q/41ko8fSuM8ev7/YFjOT+yqmkxluwnsJMuyYfLzdRieO0vpyIMl9RgBuxCeVYfcdwLxHCYnhOq7
LUZl27AAJ840PIxSjRq2HFbR6pZRJZ6kYpKVdkZgn5iXqho/dwMndxL3YEkN27IUZ1Jly/vd3Fn4
fAbvX7Z4KvPYQ+pUQxSiSpGIaTkKd/uEquO/ckPaFsqW2SCxQ65qeYDHhTjY2YZ3Z4ttqGr409Tx
SwGI9Lwi5K9slxboZSjKb+RuO1LZ9HIqnJNZBNYR9nmVLYd5+eEhaAc/UlWzNy/nJkr4NbwvN4ws
m8zXhyFu48LAy4c/vNqL83ML8NYS8DnMhHzhZpu9bnXbQ0csS7MHueA6lpehQ5rIWU4PI1TuQEC9
jkc4dKR0JuS+3DQtxTTVbr0Ol4iJLzynfJbnlFnDWjAUSqE+TEuRDfeckv2oGtlDIWESljSbluYm
tAtaNVkPs+TUdC0DR9PzZA5R9XS7uktu3acE1pCytzU6L+owvXLK65aGkE8N26dbNz8bOItI+qK8
rGPfrmECVPav3US664MTtq8mnXs1GR+6hZiUljHyH+rkXzXA1cgfYeY+WNqPW6VWKpsOk9Q/6ztJ
yEpZDpeO0a7tBufO/PTdBxBRw5Zk5Iuyx3WipbpbRvOAHUn5VAOZo13DJDtKXO80XUryqvqYv7jL
pUS2yzk5JuzP3FUj5c4Pp+7ZJ/libTMNpQVV1fy3MPtNIJI4UWCzem7wMhCV+RrOI/d435XSLW0p
OgDRapgZ792ifKrcJ5OquuQhdfyDY9Wcgi69VsNa/4Za9VH14N+kBF5tyAZ3VUP8vU3pW3Hc3/+p
m7yq/bfQ6lVtww4H13EpTgxw1Yc//G53/1qm6Wda/mX+6VB5ee3fysk19Y1J4DrJX/8DAAD//w==
</cx:binary>
              </cx:geoCache>
            </cx:geography>
          </cx:layoutPr>
          <cx:valueColors>
            <cx:minColor>
              <a:srgbClr val="FF9966"/>
            </cx:minColor>
            <cx:maxColor>
              <a:srgbClr val="AA3D4F"/>
            </cx:maxColor>
          </cx:valueColors>
        </cx:series>
      </cx:plotAreaRegion>
    </cx:plotArea>
    <cx:legend pos="t" align="ctr" overlay="1">
      <cx:spPr>
        <a:noFill/>
      </cx:spPr>
      <cx:txPr>
        <a:bodyPr vertOverflow="overflow" horzOverflow="overflow" wrap="square" lIns="0" tIns="0" rIns="0" bIns="0"/>
        <a:lstStyle/>
        <a:p>
          <a:pPr algn="ctr" rtl="0">
            <a:defRPr sz="1100" b="0" i="0">
              <a:solidFill>
                <a:srgbClr val="FF9966"/>
              </a:solidFill>
              <a:latin typeface="Bahnschrift SemiCondensed" panose="020B0502040204020203" pitchFamily="34" charset="0"/>
              <a:ea typeface="Bahnschrift SemiCondensed" panose="020B0502040204020203" pitchFamily="34" charset="0"/>
              <a:cs typeface="Bahnschrift SemiCondensed" panose="020B0502040204020203" pitchFamily="34" charset="0"/>
            </a:defRPr>
          </a:pPr>
          <a:endParaRPr lang="en-FI" sz="1100">
            <a:solidFill>
              <a:srgbClr val="FF9966"/>
            </a:solidFill>
            <a:latin typeface="Bahnschrift SemiCondensed" panose="020B0502040204020203" pitchFamily="34" charset="0"/>
          </a:endParaRPr>
        </a:p>
      </cx:txPr>
    </cx:legend>
  </cx:chart>
  <cx:spPr>
    <a:solidFill>
      <a:srgbClr val="181824">
        <a:alpha val="85000"/>
      </a:srgbClr>
    </a:solidFill>
    <a:ln w="15875">
      <a:solidFill>
        <a:srgbClr val="E7954D">
          <a:alpha val="83000"/>
        </a:srgb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microsoft.com/office/2014/relationships/chartEx" Target="../charts/chartEx1.xml"/><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chart" Target="../charts/chart1.xml"/><Relationship Id="rId12" Type="http://schemas.openxmlformats.org/officeDocument/2006/relationships/image" Target="../media/image11.pn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0.svg"/><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chart" Target="../charts/chart8.xml"/><Relationship Id="rId10" Type="http://schemas.openxmlformats.org/officeDocument/2006/relationships/image" Target="../media/image9.png"/><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13.png"/><Relationship Id="rId22"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104775</xdr:rowOff>
    </xdr:from>
    <xdr:ext cx="3943350" cy="381000"/>
    <xdr:sp macro="" textlink="">
      <xdr:nvSpPr>
        <xdr:cNvPr id="2" name="TextBox 1">
          <a:extLst>
            <a:ext uri="{FF2B5EF4-FFF2-40B4-BE49-F238E27FC236}">
              <a16:creationId xmlns:a16="http://schemas.microsoft.com/office/drawing/2014/main" id="{CB002054-1F16-00B6-1865-349A7D08AB30}"/>
            </a:ext>
          </a:extLst>
        </xdr:cNvPr>
        <xdr:cNvSpPr txBox="1"/>
      </xdr:nvSpPr>
      <xdr:spPr>
        <a:xfrm>
          <a:off x="771525" y="295275"/>
          <a:ext cx="394335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a:solidFill>
                <a:srgbClr val="E7954D"/>
              </a:solidFill>
              <a:latin typeface="Bahnschrift SemiCondensed" panose="020B0502040204020203" pitchFamily="34" charset="0"/>
            </a:rPr>
            <a:t>Elite Retal Hub</a:t>
          </a:r>
          <a:endParaRPr lang="en-FI" sz="2400">
            <a:solidFill>
              <a:srgbClr val="E7954D"/>
            </a:solidFill>
            <a:latin typeface="Bahnschrift SemiCondensed" panose="020B0502040204020203" pitchFamily="34" charset="0"/>
          </a:endParaRPr>
        </a:p>
      </xdr:txBody>
    </xdr:sp>
    <xdr:clientData/>
  </xdr:oneCellAnchor>
  <xdr:oneCellAnchor>
    <xdr:from>
      <xdr:col>22</xdr:col>
      <xdr:colOff>60242</xdr:colOff>
      <xdr:row>12</xdr:row>
      <xdr:rowOff>0</xdr:rowOff>
    </xdr:from>
    <xdr:ext cx="1873333" cy="332862"/>
    <xdr:sp macro="" textlink="">
      <xdr:nvSpPr>
        <xdr:cNvPr id="3" name="TextBox 2">
          <a:extLst>
            <a:ext uri="{FF2B5EF4-FFF2-40B4-BE49-F238E27FC236}">
              <a16:creationId xmlns:a16="http://schemas.microsoft.com/office/drawing/2014/main" id="{9BF2187F-A137-C48D-A3E3-4BA20D891E99}"/>
            </a:ext>
          </a:extLst>
        </xdr:cNvPr>
        <xdr:cNvSpPr txBox="1"/>
      </xdr:nvSpPr>
      <xdr:spPr>
        <a:xfrm>
          <a:off x="14519192" y="2286000"/>
          <a:ext cx="1873333" cy="3328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latin typeface="Bahnschrift SemiCondensed" panose="020B0502040204020203" pitchFamily="34" charset="0"/>
            </a:rPr>
            <a:t>Elite Retal Hub Sales Report</a:t>
          </a:r>
          <a:endParaRPr lang="en-FI" sz="1200">
            <a:latin typeface="Bahnschrift SemiCondensed" panose="020B0502040204020203" pitchFamily="34" charset="0"/>
          </a:endParaRPr>
        </a:p>
      </xdr:txBody>
    </xdr:sp>
    <xdr:clientData/>
  </xdr:oneCellAnchor>
  <xdr:oneCellAnchor>
    <xdr:from>
      <xdr:col>8</xdr:col>
      <xdr:colOff>144232</xdr:colOff>
      <xdr:row>3</xdr:row>
      <xdr:rowOff>126545</xdr:rowOff>
    </xdr:from>
    <xdr:ext cx="713465" cy="307841"/>
    <xdr:sp macro="" textlink="">
      <xdr:nvSpPr>
        <xdr:cNvPr id="4" name="TextBox 3">
          <a:extLst>
            <a:ext uri="{FF2B5EF4-FFF2-40B4-BE49-F238E27FC236}">
              <a16:creationId xmlns:a16="http://schemas.microsoft.com/office/drawing/2014/main" id="{F088FC34-4FC6-C092-FDE8-F3CA1F43C252}"/>
            </a:ext>
          </a:extLst>
        </xdr:cNvPr>
        <xdr:cNvSpPr txBox="1"/>
      </xdr:nvSpPr>
      <xdr:spPr>
        <a:xfrm>
          <a:off x="5402032" y="698045"/>
          <a:ext cx="713465"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Quantiy</a:t>
          </a:r>
          <a:endParaRPr lang="en-FI" sz="1400">
            <a:solidFill>
              <a:srgbClr val="E7954D"/>
            </a:solidFill>
            <a:latin typeface="Bahnschrift SemiCondensed" panose="020B0502040204020203" pitchFamily="34" charset="0"/>
          </a:endParaRPr>
        </a:p>
      </xdr:txBody>
    </xdr:sp>
    <xdr:clientData/>
  </xdr:oneCellAnchor>
  <xdr:oneCellAnchor>
    <xdr:from>
      <xdr:col>22</xdr:col>
      <xdr:colOff>251139</xdr:colOff>
      <xdr:row>7</xdr:row>
      <xdr:rowOff>109771</xdr:rowOff>
    </xdr:from>
    <xdr:ext cx="1720536" cy="461729"/>
    <xdr:sp macro="" textlink="">
      <xdr:nvSpPr>
        <xdr:cNvPr id="5" name="TextBox 4">
          <a:extLst>
            <a:ext uri="{FF2B5EF4-FFF2-40B4-BE49-F238E27FC236}">
              <a16:creationId xmlns:a16="http://schemas.microsoft.com/office/drawing/2014/main" id="{2C742A90-42AA-7FE5-8FC7-C676B9FBB2BB}"/>
            </a:ext>
          </a:extLst>
        </xdr:cNvPr>
        <xdr:cNvSpPr txBox="1"/>
      </xdr:nvSpPr>
      <xdr:spPr>
        <a:xfrm>
          <a:off x="14710089" y="1443271"/>
          <a:ext cx="1720536"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latin typeface="Bahnschrift SemiCondensed" panose="020B0502040204020203" pitchFamily="34" charset="0"/>
            </a:rPr>
            <a:t>Sales Report</a:t>
          </a:r>
          <a:endParaRPr lang="en-FI" sz="2400">
            <a:latin typeface="Bahnschrift SemiCondensed" panose="020B0502040204020203" pitchFamily="34" charset="0"/>
          </a:endParaRPr>
        </a:p>
      </xdr:txBody>
    </xdr:sp>
    <xdr:clientData/>
  </xdr:oneCellAnchor>
  <xdr:oneCellAnchor>
    <xdr:from>
      <xdr:col>1</xdr:col>
      <xdr:colOff>114300</xdr:colOff>
      <xdr:row>2</xdr:row>
      <xdr:rowOff>189139</xdr:rowOff>
    </xdr:from>
    <xdr:ext cx="3943350" cy="381000"/>
    <xdr:sp macro="" textlink="">
      <xdr:nvSpPr>
        <xdr:cNvPr id="6" name="TextBox 5">
          <a:extLst>
            <a:ext uri="{FF2B5EF4-FFF2-40B4-BE49-F238E27FC236}">
              <a16:creationId xmlns:a16="http://schemas.microsoft.com/office/drawing/2014/main" id="{2E92A6B8-97F4-0A50-EE79-33A4680065F2}"/>
            </a:ext>
          </a:extLst>
        </xdr:cNvPr>
        <xdr:cNvSpPr txBox="1"/>
      </xdr:nvSpPr>
      <xdr:spPr>
        <a:xfrm>
          <a:off x="771525" y="570139"/>
          <a:ext cx="3943350"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2400">
              <a:solidFill>
                <a:srgbClr val="E7954D"/>
              </a:solidFill>
              <a:latin typeface="Bahnschrift SemiCondensed" panose="020B0502040204020203" pitchFamily="34" charset="0"/>
            </a:rPr>
            <a:t>Sales Dashboard</a:t>
          </a:r>
          <a:endParaRPr lang="en-FI" sz="2400">
            <a:solidFill>
              <a:srgbClr val="E7954D"/>
            </a:solidFill>
            <a:latin typeface="Bahnschrift SemiCondensed" panose="020B0502040204020203" pitchFamily="34" charset="0"/>
          </a:endParaRPr>
        </a:p>
      </xdr:txBody>
    </xdr:sp>
    <xdr:clientData/>
  </xdr:oneCellAnchor>
  <xdr:twoCellAnchor editAs="oneCell">
    <xdr:from>
      <xdr:col>0</xdr:col>
      <xdr:colOff>114300</xdr:colOff>
      <xdr:row>0</xdr:row>
      <xdr:rowOff>161925</xdr:rowOff>
    </xdr:from>
    <xdr:to>
      <xdr:col>1</xdr:col>
      <xdr:colOff>296819</xdr:colOff>
      <xdr:row>5</xdr:row>
      <xdr:rowOff>44904</xdr:rowOff>
    </xdr:to>
    <xdr:pic>
      <xdr:nvPicPr>
        <xdr:cNvPr id="8" name="Graphic 7" descr="Document with solid fill">
          <a:extLst>
            <a:ext uri="{FF2B5EF4-FFF2-40B4-BE49-F238E27FC236}">
              <a16:creationId xmlns:a16="http://schemas.microsoft.com/office/drawing/2014/main" id="{40B9B718-7C6D-84AB-AD2A-A5215C9EF5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161925"/>
          <a:ext cx="839744" cy="835479"/>
        </a:xfrm>
        <a:prstGeom prst="rect">
          <a:avLst/>
        </a:prstGeom>
      </xdr:spPr>
    </xdr:pic>
    <xdr:clientData/>
  </xdr:twoCellAnchor>
  <xdr:twoCellAnchor editAs="oneCell">
    <xdr:from>
      <xdr:col>0</xdr:col>
      <xdr:colOff>46263</xdr:colOff>
      <xdr:row>26</xdr:row>
      <xdr:rowOff>28572</xdr:rowOff>
    </xdr:from>
    <xdr:to>
      <xdr:col>0</xdr:col>
      <xdr:colOff>559287</xdr:colOff>
      <xdr:row>28</xdr:row>
      <xdr:rowOff>163733</xdr:rowOff>
    </xdr:to>
    <xdr:pic>
      <xdr:nvPicPr>
        <xdr:cNvPr id="10" name="Graphic 9" descr="Briefcase with solid fill">
          <a:extLst>
            <a:ext uri="{FF2B5EF4-FFF2-40B4-BE49-F238E27FC236}">
              <a16:creationId xmlns:a16="http://schemas.microsoft.com/office/drawing/2014/main" id="{D92CD5F5-805E-3D12-301F-E0E4D0B77C0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263" y="4981572"/>
          <a:ext cx="514384" cy="514801"/>
        </a:xfrm>
        <a:prstGeom prst="rect">
          <a:avLst/>
        </a:prstGeom>
      </xdr:spPr>
    </xdr:pic>
    <xdr:clientData/>
  </xdr:twoCellAnchor>
  <xdr:twoCellAnchor editAs="oneCell">
    <xdr:from>
      <xdr:col>0</xdr:col>
      <xdr:colOff>76200</xdr:colOff>
      <xdr:row>31</xdr:row>
      <xdr:rowOff>58510</xdr:rowOff>
    </xdr:from>
    <xdr:to>
      <xdr:col>0</xdr:col>
      <xdr:colOff>591911</xdr:colOff>
      <xdr:row>34</xdr:row>
      <xdr:rowOff>0</xdr:rowOff>
    </xdr:to>
    <xdr:pic>
      <xdr:nvPicPr>
        <xdr:cNvPr id="12" name="Graphic 11" descr="Social network with solid fill">
          <a:extLst>
            <a:ext uri="{FF2B5EF4-FFF2-40B4-BE49-F238E27FC236}">
              <a16:creationId xmlns:a16="http://schemas.microsoft.com/office/drawing/2014/main" id="{B552CE66-BF77-0CFD-7919-218B8B7AB1B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200" y="5964010"/>
          <a:ext cx="512990" cy="512990"/>
        </a:xfrm>
        <a:prstGeom prst="rect">
          <a:avLst/>
        </a:prstGeom>
      </xdr:spPr>
    </xdr:pic>
    <xdr:clientData/>
  </xdr:twoCellAnchor>
  <xdr:oneCellAnchor>
    <xdr:from>
      <xdr:col>0</xdr:col>
      <xdr:colOff>0</xdr:colOff>
      <xdr:row>34</xdr:row>
      <xdr:rowOff>1</xdr:rowOff>
    </xdr:from>
    <xdr:ext cx="657225" cy="190500"/>
    <xdr:sp macro="" textlink="">
      <xdr:nvSpPr>
        <xdr:cNvPr id="14" name="TextBox 13">
          <a:extLst>
            <a:ext uri="{FF2B5EF4-FFF2-40B4-BE49-F238E27FC236}">
              <a16:creationId xmlns:a16="http://schemas.microsoft.com/office/drawing/2014/main" id="{5DF1499B-7750-1CAC-C7E9-B243D5946095}"/>
            </a:ext>
          </a:extLst>
        </xdr:cNvPr>
        <xdr:cNvSpPr txBox="1"/>
      </xdr:nvSpPr>
      <xdr:spPr>
        <a:xfrm>
          <a:off x="0" y="6477001"/>
          <a:ext cx="65722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i="0">
              <a:solidFill>
                <a:srgbClr val="8A8B9A"/>
              </a:solidFill>
              <a:latin typeface="Bahnschrift SemiCondensed" panose="020B0502040204020203" pitchFamily="34" charset="0"/>
            </a:rPr>
            <a:t>J. Fademi</a:t>
          </a:r>
          <a:endParaRPr lang="en-FI" sz="1000" b="1" i="0">
            <a:solidFill>
              <a:srgbClr val="8A8B9A"/>
            </a:solidFill>
            <a:latin typeface="Bahnschrift SemiCondensed" panose="020B0502040204020203" pitchFamily="34" charset="0"/>
          </a:endParaRPr>
        </a:p>
      </xdr:txBody>
    </xdr:sp>
    <xdr:clientData/>
  </xdr:oneCellAnchor>
  <xdr:oneCellAnchor>
    <xdr:from>
      <xdr:col>0</xdr:col>
      <xdr:colOff>0</xdr:colOff>
      <xdr:row>28</xdr:row>
      <xdr:rowOff>161925</xdr:rowOff>
    </xdr:from>
    <xdr:ext cx="657225" cy="190500"/>
    <xdr:sp macro="" textlink="">
      <xdr:nvSpPr>
        <xdr:cNvPr id="15" name="TextBox 14">
          <a:extLst>
            <a:ext uri="{FF2B5EF4-FFF2-40B4-BE49-F238E27FC236}">
              <a16:creationId xmlns:a16="http://schemas.microsoft.com/office/drawing/2014/main" id="{821BC3CC-F119-1267-AE89-FEF7CC697360}"/>
            </a:ext>
          </a:extLst>
        </xdr:cNvPr>
        <xdr:cNvSpPr txBox="1"/>
      </xdr:nvSpPr>
      <xdr:spPr>
        <a:xfrm>
          <a:off x="0" y="5495925"/>
          <a:ext cx="65722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000" b="1" i="0">
              <a:solidFill>
                <a:srgbClr val="8A8B9A"/>
              </a:solidFill>
              <a:latin typeface="Bahnschrift SemiCondensed" panose="020B0502040204020203" pitchFamily="34" charset="0"/>
            </a:rPr>
            <a:t>portfolio</a:t>
          </a:r>
          <a:endParaRPr lang="en-FI" sz="1000" b="1" i="0">
            <a:solidFill>
              <a:srgbClr val="8A8B9A"/>
            </a:solidFill>
            <a:latin typeface="Bahnschrift SemiCondensed" panose="020B0502040204020203" pitchFamily="34" charset="0"/>
          </a:endParaRPr>
        </a:p>
      </xdr:txBody>
    </xdr:sp>
    <xdr:clientData/>
  </xdr:oneCellAnchor>
  <xdr:twoCellAnchor>
    <xdr:from>
      <xdr:col>0</xdr:col>
      <xdr:colOff>9525</xdr:colOff>
      <xdr:row>30</xdr:row>
      <xdr:rowOff>123825</xdr:rowOff>
    </xdr:from>
    <xdr:to>
      <xdr:col>1</xdr:col>
      <xdr:colOff>9525</xdr:colOff>
      <xdr:row>30</xdr:row>
      <xdr:rowOff>123825</xdr:rowOff>
    </xdr:to>
    <xdr:cxnSp macro="">
      <xdr:nvCxnSpPr>
        <xdr:cNvPr id="17" name="Straight Connector 16">
          <a:extLst>
            <a:ext uri="{FF2B5EF4-FFF2-40B4-BE49-F238E27FC236}">
              <a16:creationId xmlns:a16="http://schemas.microsoft.com/office/drawing/2014/main" id="{4D9AAD8E-35EF-D93A-7530-8868CA3375A6}"/>
            </a:ext>
          </a:extLst>
        </xdr:cNvPr>
        <xdr:cNvCxnSpPr/>
      </xdr:nvCxnSpPr>
      <xdr:spPr>
        <a:xfrm>
          <a:off x="9525" y="5838825"/>
          <a:ext cx="657225" cy="0"/>
        </a:xfrm>
        <a:prstGeom prst="line">
          <a:avLst/>
        </a:prstGeom>
        <a:ln>
          <a:solidFill>
            <a:srgbClr val="8A8B9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9525</xdr:colOff>
      <xdr:row>35</xdr:row>
      <xdr:rowOff>107496</xdr:rowOff>
    </xdr:from>
    <xdr:to>
      <xdr:col>1</xdr:col>
      <xdr:colOff>9525</xdr:colOff>
      <xdr:row>35</xdr:row>
      <xdr:rowOff>107496</xdr:rowOff>
    </xdr:to>
    <xdr:cxnSp macro="">
      <xdr:nvCxnSpPr>
        <xdr:cNvPr id="20" name="Straight Connector 19">
          <a:extLst>
            <a:ext uri="{FF2B5EF4-FFF2-40B4-BE49-F238E27FC236}">
              <a16:creationId xmlns:a16="http://schemas.microsoft.com/office/drawing/2014/main" id="{53FBD707-9AE5-0395-2606-B9D3D01837FA}"/>
            </a:ext>
          </a:extLst>
        </xdr:cNvPr>
        <xdr:cNvCxnSpPr/>
      </xdr:nvCxnSpPr>
      <xdr:spPr>
        <a:xfrm>
          <a:off x="9525" y="6774996"/>
          <a:ext cx="657225" cy="0"/>
        </a:xfrm>
        <a:prstGeom prst="line">
          <a:avLst/>
        </a:prstGeom>
        <a:ln>
          <a:solidFill>
            <a:srgbClr val="8A8B9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25</xdr:row>
      <xdr:rowOff>125185</xdr:rowOff>
    </xdr:from>
    <xdr:to>
      <xdr:col>1</xdr:col>
      <xdr:colOff>0</xdr:colOff>
      <xdr:row>25</xdr:row>
      <xdr:rowOff>125185</xdr:rowOff>
    </xdr:to>
    <xdr:cxnSp macro="">
      <xdr:nvCxnSpPr>
        <xdr:cNvPr id="21" name="Straight Connector 20">
          <a:extLst>
            <a:ext uri="{FF2B5EF4-FFF2-40B4-BE49-F238E27FC236}">
              <a16:creationId xmlns:a16="http://schemas.microsoft.com/office/drawing/2014/main" id="{5A390CAC-8511-9DF4-6B69-4E79AB841587}"/>
            </a:ext>
          </a:extLst>
        </xdr:cNvPr>
        <xdr:cNvCxnSpPr/>
      </xdr:nvCxnSpPr>
      <xdr:spPr>
        <a:xfrm>
          <a:off x="0" y="4887685"/>
          <a:ext cx="657225" cy="0"/>
        </a:xfrm>
        <a:prstGeom prst="line">
          <a:avLst/>
        </a:prstGeom>
        <a:ln>
          <a:solidFill>
            <a:srgbClr val="8A8B9A"/>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0</xdr:col>
      <xdr:colOff>0</xdr:colOff>
      <xdr:row>35</xdr:row>
      <xdr:rowOff>161925</xdr:rowOff>
    </xdr:from>
    <xdr:ext cx="657225" cy="190500"/>
    <xdr:sp macro="" textlink="">
      <xdr:nvSpPr>
        <xdr:cNvPr id="22" name="TextBox 21">
          <a:extLst>
            <a:ext uri="{FF2B5EF4-FFF2-40B4-BE49-F238E27FC236}">
              <a16:creationId xmlns:a16="http://schemas.microsoft.com/office/drawing/2014/main" id="{A29A1A0D-CCB8-D5EE-6ECF-19911CF46C71}"/>
            </a:ext>
          </a:extLst>
        </xdr:cNvPr>
        <xdr:cNvSpPr txBox="1"/>
      </xdr:nvSpPr>
      <xdr:spPr>
        <a:xfrm>
          <a:off x="0" y="6829425"/>
          <a:ext cx="657225" cy="19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FI" sz="1000" b="1" i="0">
              <a:solidFill>
                <a:srgbClr val="8A8B9A"/>
              </a:solidFill>
              <a:latin typeface="Bahnschrift SemiCondensed" panose="020B0502040204020203" pitchFamily="34" charset="0"/>
            </a:rPr>
            <a:t>©</a:t>
          </a:r>
          <a:r>
            <a:rPr lang="en-GB" sz="1000" b="1" i="0">
              <a:solidFill>
                <a:srgbClr val="8A8B9A"/>
              </a:solidFill>
              <a:latin typeface="Bahnschrift SemiCondensed" panose="020B0502040204020203" pitchFamily="34" charset="0"/>
            </a:rPr>
            <a:t>2025</a:t>
          </a:r>
          <a:endParaRPr lang="en-FI" sz="1000" b="1" i="0">
            <a:solidFill>
              <a:srgbClr val="8A8B9A"/>
            </a:solidFill>
            <a:latin typeface="Bahnschrift SemiCondensed" panose="020B0502040204020203" pitchFamily="34" charset="0"/>
          </a:endParaRPr>
        </a:p>
      </xdr:txBody>
    </xdr:sp>
    <xdr:clientData/>
  </xdr:oneCellAnchor>
  <xdr:oneCellAnchor>
    <xdr:from>
      <xdr:col>8</xdr:col>
      <xdr:colOff>92529</xdr:colOff>
      <xdr:row>1</xdr:row>
      <xdr:rowOff>153759</xdr:rowOff>
    </xdr:from>
    <xdr:ext cx="1314450" cy="381000"/>
    <xdr:sp macro="" textlink="Analysis!$A$4">
      <xdr:nvSpPr>
        <xdr:cNvPr id="7" name="TextBox 6">
          <a:extLst>
            <a:ext uri="{FF2B5EF4-FFF2-40B4-BE49-F238E27FC236}">
              <a16:creationId xmlns:a16="http://schemas.microsoft.com/office/drawing/2014/main" id="{F86A2761-E283-1CC1-73DE-1925D110D70E}"/>
            </a:ext>
          </a:extLst>
        </xdr:cNvPr>
        <xdr:cNvSpPr txBox="1"/>
      </xdr:nvSpPr>
      <xdr:spPr>
        <a:xfrm>
          <a:off x="5350329" y="344259"/>
          <a:ext cx="13144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08DD6922-9F32-447C-8214-EA6A5E5FFEFD}" type="TxLink">
            <a:rPr lang="en-US" sz="2400" b="1" i="0" u="none" strike="noStrike">
              <a:solidFill>
                <a:srgbClr val="8A8B9A"/>
              </a:solidFill>
              <a:latin typeface="Bahnschrift Light Condensed"/>
            </a:rPr>
            <a:pPr marL="0" marR="0" lvl="0" indent="0" algn="l" defTabSz="914400" eaLnBrk="1" fontAlgn="auto" latinLnBrk="0" hangingPunct="1">
              <a:lnSpc>
                <a:spcPct val="100000"/>
              </a:lnSpc>
              <a:spcBef>
                <a:spcPts val="0"/>
              </a:spcBef>
              <a:spcAft>
                <a:spcPts val="0"/>
              </a:spcAft>
              <a:buClrTx/>
              <a:buSzTx/>
              <a:buFontTx/>
              <a:buNone/>
              <a:tabLst/>
              <a:defRPr/>
            </a:pPr>
            <a:t> 593.00 </a:t>
          </a:fld>
          <a:endParaRPr lang="en-FI" sz="2400" b="1">
            <a:solidFill>
              <a:srgbClr val="8A8B9A"/>
            </a:solidFill>
            <a:effectLst/>
          </a:endParaRPr>
        </a:p>
      </xdr:txBody>
    </xdr:sp>
    <xdr:clientData/>
  </xdr:oneCellAnchor>
  <xdr:oneCellAnchor>
    <xdr:from>
      <xdr:col>12</xdr:col>
      <xdr:colOff>58508</xdr:colOff>
      <xdr:row>3</xdr:row>
      <xdr:rowOff>123822</xdr:rowOff>
    </xdr:from>
    <xdr:ext cx="569002" cy="307841"/>
    <xdr:sp macro="" textlink="">
      <xdr:nvSpPr>
        <xdr:cNvPr id="18" name="TextBox 17">
          <a:extLst>
            <a:ext uri="{FF2B5EF4-FFF2-40B4-BE49-F238E27FC236}">
              <a16:creationId xmlns:a16="http://schemas.microsoft.com/office/drawing/2014/main" id="{BED74010-2CEE-F121-3BD0-AF3D71EE00D9}"/>
            </a:ext>
          </a:extLst>
        </xdr:cNvPr>
        <xdr:cNvSpPr txBox="1"/>
      </xdr:nvSpPr>
      <xdr:spPr>
        <a:xfrm>
          <a:off x="7945208" y="695322"/>
          <a:ext cx="569002"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Sales</a:t>
          </a:r>
          <a:endParaRPr lang="en-FI" sz="1400">
            <a:solidFill>
              <a:srgbClr val="E7954D"/>
            </a:solidFill>
            <a:latin typeface="Bahnschrift SemiCondensed" panose="020B0502040204020203" pitchFamily="34" charset="0"/>
          </a:endParaRPr>
        </a:p>
      </xdr:txBody>
    </xdr:sp>
    <xdr:clientData/>
  </xdr:oneCellAnchor>
  <xdr:oneCellAnchor>
    <xdr:from>
      <xdr:col>12</xdr:col>
      <xdr:colOff>9524</xdr:colOff>
      <xdr:row>1</xdr:row>
      <xdr:rowOff>151037</xdr:rowOff>
    </xdr:from>
    <xdr:ext cx="1514476" cy="381000"/>
    <xdr:sp macro="" textlink="Analysis!$B$4">
      <xdr:nvSpPr>
        <xdr:cNvPr id="19" name="TextBox 18">
          <a:extLst>
            <a:ext uri="{FF2B5EF4-FFF2-40B4-BE49-F238E27FC236}">
              <a16:creationId xmlns:a16="http://schemas.microsoft.com/office/drawing/2014/main" id="{E7E17FBA-BFAD-CD3B-DF63-D0320314F239}"/>
            </a:ext>
          </a:extLst>
        </xdr:cNvPr>
        <xdr:cNvSpPr txBox="1"/>
      </xdr:nvSpPr>
      <xdr:spPr>
        <a:xfrm>
          <a:off x="7896224" y="341537"/>
          <a:ext cx="1514476"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7EFAE606-3A96-4893-A667-0943D5E07028}" type="TxLink">
            <a:rPr lang="en-US" sz="2400" b="1" i="0" u="none" strike="noStrike">
              <a:solidFill>
                <a:srgbClr val="8A8B9A"/>
              </a:solidFill>
              <a:latin typeface="Bahnschrift Light Condensed"/>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$981,140.21 </a:t>
          </a:fld>
          <a:endParaRPr lang="en-FI" sz="2400" b="1" i="0" u="none" strike="noStrike">
            <a:solidFill>
              <a:srgbClr val="8A8B9A"/>
            </a:solidFill>
            <a:latin typeface="Bahnschrift Light Condensed"/>
            <a:ea typeface="+mn-ea"/>
            <a:cs typeface="+mn-cs"/>
          </a:endParaRPr>
        </a:p>
      </xdr:txBody>
    </xdr:sp>
    <xdr:clientData/>
  </xdr:oneCellAnchor>
  <xdr:oneCellAnchor>
    <xdr:from>
      <xdr:col>16</xdr:col>
      <xdr:colOff>77558</xdr:colOff>
      <xdr:row>3</xdr:row>
      <xdr:rowOff>122460</xdr:rowOff>
    </xdr:from>
    <xdr:ext cx="573427" cy="307841"/>
    <xdr:sp macro="" textlink="">
      <xdr:nvSpPr>
        <xdr:cNvPr id="23" name="TextBox 22">
          <a:extLst>
            <a:ext uri="{FF2B5EF4-FFF2-40B4-BE49-F238E27FC236}">
              <a16:creationId xmlns:a16="http://schemas.microsoft.com/office/drawing/2014/main" id="{AB430DE3-417B-FF56-DF1C-896C4E8B97B4}"/>
            </a:ext>
          </a:extLst>
        </xdr:cNvPr>
        <xdr:cNvSpPr txBox="1"/>
      </xdr:nvSpPr>
      <xdr:spPr>
        <a:xfrm>
          <a:off x="10593158" y="693960"/>
          <a:ext cx="573427"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Profit</a:t>
          </a:r>
          <a:endParaRPr lang="en-FI" sz="1400">
            <a:solidFill>
              <a:srgbClr val="E7954D"/>
            </a:solidFill>
            <a:latin typeface="Bahnschrift SemiCondensed" panose="020B0502040204020203" pitchFamily="34" charset="0"/>
          </a:endParaRPr>
        </a:p>
      </xdr:txBody>
    </xdr:sp>
    <xdr:clientData/>
  </xdr:oneCellAnchor>
  <xdr:oneCellAnchor>
    <xdr:from>
      <xdr:col>16</xdr:col>
      <xdr:colOff>9524</xdr:colOff>
      <xdr:row>1</xdr:row>
      <xdr:rowOff>153757</xdr:rowOff>
    </xdr:from>
    <xdr:ext cx="1968954" cy="381000"/>
    <xdr:sp macro="" textlink="Analysis!$C$4">
      <xdr:nvSpPr>
        <xdr:cNvPr id="24" name="TextBox 23">
          <a:extLst>
            <a:ext uri="{FF2B5EF4-FFF2-40B4-BE49-F238E27FC236}">
              <a16:creationId xmlns:a16="http://schemas.microsoft.com/office/drawing/2014/main" id="{50F54E80-7231-CFD0-8787-5C1F1F2A72D3}"/>
            </a:ext>
          </a:extLst>
        </xdr:cNvPr>
        <xdr:cNvSpPr txBox="1"/>
      </xdr:nvSpPr>
      <xdr:spPr>
        <a:xfrm>
          <a:off x="10525124" y="344257"/>
          <a:ext cx="1968954"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052CC2AE-193C-4DC4-985C-D41A28B483AF}" type="TxLink">
            <a:rPr lang="en-US" sz="2400" b="1" i="0" u="none" strike="noStrike">
              <a:solidFill>
                <a:srgbClr val="8A8B9A"/>
              </a:solidFill>
              <a:latin typeface="Bahnschrift Light Condensed"/>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$448,020.64 </a:t>
          </a:fld>
          <a:endParaRPr lang="en-FI" sz="2400" b="1" i="0" u="none" strike="noStrike">
            <a:solidFill>
              <a:srgbClr val="8A8B9A"/>
            </a:solidFill>
            <a:latin typeface="Bahnschrift Light Condensed"/>
            <a:ea typeface="+mn-ea"/>
            <a:cs typeface="+mn-cs"/>
          </a:endParaRPr>
        </a:p>
      </xdr:txBody>
    </xdr:sp>
    <xdr:clientData/>
  </xdr:oneCellAnchor>
  <xdr:oneCellAnchor>
    <xdr:from>
      <xdr:col>19</xdr:col>
      <xdr:colOff>650418</xdr:colOff>
      <xdr:row>3</xdr:row>
      <xdr:rowOff>125178</xdr:rowOff>
    </xdr:from>
    <xdr:ext cx="1098570" cy="307841"/>
    <xdr:sp macro="" textlink="">
      <xdr:nvSpPr>
        <xdr:cNvPr id="25" name="TextBox 24">
          <a:extLst>
            <a:ext uri="{FF2B5EF4-FFF2-40B4-BE49-F238E27FC236}">
              <a16:creationId xmlns:a16="http://schemas.microsoft.com/office/drawing/2014/main" id="{F272DAEB-4BAB-A136-E79D-8F4BE22A37F5}"/>
            </a:ext>
          </a:extLst>
        </xdr:cNvPr>
        <xdr:cNvSpPr txBox="1"/>
      </xdr:nvSpPr>
      <xdr:spPr>
        <a:xfrm>
          <a:off x="13137693" y="696678"/>
          <a:ext cx="1098570" cy="3078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a:solidFill>
                <a:srgbClr val="E7954D"/>
              </a:solidFill>
              <a:latin typeface="Bahnschrift SemiCondensed" panose="020B0502040204020203" pitchFamily="34" charset="0"/>
            </a:rPr>
            <a:t>Profit</a:t>
          </a:r>
          <a:r>
            <a:rPr lang="en-US" sz="1400" baseline="0">
              <a:solidFill>
                <a:srgbClr val="E7954D"/>
              </a:solidFill>
              <a:latin typeface="Bahnschrift SemiCondensed" panose="020B0502040204020203" pitchFamily="34" charset="0"/>
            </a:rPr>
            <a:t> Margin</a:t>
          </a:r>
          <a:endParaRPr lang="en-FI" sz="1400">
            <a:solidFill>
              <a:srgbClr val="E7954D"/>
            </a:solidFill>
            <a:latin typeface="Bahnschrift SemiCondensed" panose="020B0502040204020203" pitchFamily="34" charset="0"/>
          </a:endParaRPr>
        </a:p>
      </xdr:txBody>
    </xdr:sp>
    <xdr:clientData/>
  </xdr:oneCellAnchor>
  <xdr:oneCellAnchor>
    <xdr:from>
      <xdr:col>20</xdr:col>
      <xdr:colOff>12246</xdr:colOff>
      <xdr:row>1</xdr:row>
      <xdr:rowOff>152397</xdr:rowOff>
    </xdr:from>
    <xdr:ext cx="1314450" cy="381000"/>
    <xdr:sp macro="" textlink="Analysis!$D$4">
      <xdr:nvSpPr>
        <xdr:cNvPr id="26" name="TextBox 25">
          <a:extLst>
            <a:ext uri="{FF2B5EF4-FFF2-40B4-BE49-F238E27FC236}">
              <a16:creationId xmlns:a16="http://schemas.microsoft.com/office/drawing/2014/main" id="{980CE6F5-C9D6-5780-9932-D227E97F405F}"/>
            </a:ext>
          </a:extLst>
        </xdr:cNvPr>
        <xdr:cNvSpPr txBox="1"/>
      </xdr:nvSpPr>
      <xdr:spPr>
        <a:xfrm>
          <a:off x="13156746" y="342897"/>
          <a:ext cx="1314450" cy="381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fld id="{EB2F54D7-CEB7-4E74-AE32-05156B233D26}" type="TxLink">
            <a:rPr lang="en-US" sz="2400" b="1" i="0" u="none" strike="noStrike">
              <a:solidFill>
                <a:srgbClr val="8A8B9A"/>
              </a:solidFill>
              <a:latin typeface="Bahnschrift Light Condensed"/>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45.66 %</a:t>
          </a:fld>
          <a:endParaRPr lang="en-FI" sz="2400" b="1" i="0" u="none" strike="noStrike">
            <a:solidFill>
              <a:srgbClr val="8A8B9A"/>
            </a:solidFill>
            <a:latin typeface="Bahnschrift Light Condensed"/>
            <a:ea typeface="+mn-ea"/>
            <a:cs typeface="+mn-cs"/>
          </a:endParaRPr>
        </a:p>
      </xdr:txBody>
    </xdr:sp>
    <xdr:clientData/>
  </xdr:oneCellAnchor>
  <xdr:twoCellAnchor>
    <xdr:from>
      <xdr:col>6</xdr:col>
      <xdr:colOff>582386</xdr:colOff>
      <xdr:row>6</xdr:row>
      <xdr:rowOff>57150</xdr:rowOff>
    </xdr:from>
    <xdr:to>
      <xdr:col>14</xdr:col>
      <xdr:colOff>152401</xdr:colOff>
      <xdr:row>19</xdr:row>
      <xdr:rowOff>140154</xdr:rowOff>
    </xdr:to>
    <xdr:graphicFrame macro="">
      <xdr:nvGraphicFramePr>
        <xdr:cNvPr id="27" name="Chart 26">
          <a:extLst>
            <a:ext uri="{FF2B5EF4-FFF2-40B4-BE49-F238E27FC236}">
              <a16:creationId xmlns:a16="http://schemas.microsoft.com/office/drawing/2014/main" id="{B4404344-273A-4BB2-864D-7559E4C92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0</xdr:colOff>
      <xdr:row>0</xdr:row>
      <xdr:rowOff>0</xdr:rowOff>
    </xdr:from>
    <xdr:to>
      <xdr:col>8</xdr:col>
      <xdr:colOff>301653</xdr:colOff>
      <xdr:row>5</xdr:row>
      <xdr:rowOff>8163</xdr:rowOff>
    </xdr:to>
    <xdr:pic>
      <xdr:nvPicPr>
        <xdr:cNvPr id="31" name="Graphic 30" descr="Box with solid fill">
          <a:extLst>
            <a:ext uri="{FF2B5EF4-FFF2-40B4-BE49-F238E27FC236}">
              <a16:creationId xmlns:a16="http://schemas.microsoft.com/office/drawing/2014/main" id="{A58A5D15-4069-0809-BE7D-6EEACDC25FD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600575" y="0"/>
          <a:ext cx="958878" cy="960663"/>
        </a:xfrm>
        <a:prstGeom prst="rect">
          <a:avLst/>
        </a:prstGeom>
      </xdr:spPr>
    </xdr:pic>
    <xdr:clientData/>
  </xdr:twoCellAnchor>
  <xdr:twoCellAnchor editAs="oneCell">
    <xdr:from>
      <xdr:col>15</xdr:col>
      <xdr:colOff>69395</xdr:colOff>
      <xdr:row>0</xdr:row>
      <xdr:rowOff>104775</xdr:rowOff>
    </xdr:from>
    <xdr:to>
      <xdr:col>16</xdr:col>
      <xdr:colOff>193221</xdr:colOff>
      <xdr:row>5</xdr:row>
      <xdr:rowOff>66675</xdr:rowOff>
    </xdr:to>
    <xdr:pic>
      <xdr:nvPicPr>
        <xdr:cNvPr id="35" name="Graphic 34" descr="Coins with solid fill">
          <a:extLst>
            <a:ext uri="{FF2B5EF4-FFF2-40B4-BE49-F238E27FC236}">
              <a16:creationId xmlns:a16="http://schemas.microsoft.com/office/drawing/2014/main" id="{9056718D-F635-3C9C-2989-40D34E70AA7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9927770" y="104775"/>
          <a:ext cx="781051" cy="914400"/>
        </a:xfrm>
        <a:prstGeom prst="rect">
          <a:avLst/>
        </a:prstGeom>
      </xdr:spPr>
    </xdr:pic>
    <xdr:clientData/>
  </xdr:twoCellAnchor>
  <xdr:twoCellAnchor editAs="oneCell">
    <xdr:from>
      <xdr:col>11</xdr:col>
      <xdr:colOff>29212</xdr:colOff>
      <xdr:row>0</xdr:row>
      <xdr:rowOff>134709</xdr:rowOff>
    </xdr:from>
    <xdr:to>
      <xdr:col>12</xdr:col>
      <xdr:colOff>237979</xdr:colOff>
      <xdr:row>5</xdr:row>
      <xdr:rowOff>142874</xdr:rowOff>
    </xdr:to>
    <xdr:pic>
      <xdr:nvPicPr>
        <xdr:cNvPr id="39" name="Graphic 38" descr="Shopping cart with solid fill">
          <a:extLst>
            <a:ext uri="{FF2B5EF4-FFF2-40B4-BE49-F238E27FC236}">
              <a16:creationId xmlns:a16="http://schemas.microsoft.com/office/drawing/2014/main" id="{D797C61B-2ECF-A97B-A979-F8BBA7814DA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258687" y="134709"/>
          <a:ext cx="865992" cy="960665"/>
        </a:xfrm>
        <a:prstGeom prst="rect">
          <a:avLst/>
        </a:prstGeom>
      </xdr:spPr>
    </xdr:pic>
    <xdr:clientData/>
  </xdr:twoCellAnchor>
  <xdr:twoCellAnchor editAs="oneCell">
    <xdr:from>
      <xdr:col>18</xdr:col>
      <xdr:colOff>609600</xdr:colOff>
      <xdr:row>0</xdr:row>
      <xdr:rowOff>120422</xdr:rowOff>
    </xdr:from>
    <xdr:to>
      <xdr:col>20</xdr:col>
      <xdr:colOff>142877</xdr:colOff>
      <xdr:row>5</xdr:row>
      <xdr:rowOff>15649</xdr:rowOff>
    </xdr:to>
    <xdr:pic>
      <xdr:nvPicPr>
        <xdr:cNvPr id="41" name="Graphic 40" descr="Harvey Balls 40% with solid fill">
          <a:extLst>
            <a:ext uri="{FF2B5EF4-FFF2-40B4-BE49-F238E27FC236}">
              <a16:creationId xmlns:a16="http://schemas.microsoft.com/office/drawing/2014/main" id="{F07260EF-B8DB-5282-05A3-494DB01D27C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12439650" y="120422"/>
          <a:ext cx="847727" cy="847727"/>
        </a:xfrm>
        <a:prstGeom prst="rect">
          <a:avLst/>
        </a:prstGeom>
      </xdr:spPr>
    </xdr:pic>
    <xdr:clientData/>
  </xdr:twoCellAnchor>
  <xdr:twoCellAnchor>
    <xdr:from>
      <xdr:col>8</xdr:col>
      <xdr:colOff>115662</xdr:colOff>
      <xdr:row>1</xdr:row>
      <xdr:rowOff>141515</xdr:rowOff>
    </xdr:from>
    <xdr:to>
      <xdr:col>9</xdr:col>
      <xdr:colOff>447675</xdr:colOff>
      <xdr:row>3</xdr:row>
      <xdr:rowOff>141515</xdr:rowOff>
    </xdr:to>
    <xdr:sp macro="" textlink="">
      <xdr:nvSpPr>
        <xdr:cNvPr id="42" name="Rectangle: Rounded Corners 41">
          <a:extLst>
            <a:ext uri="{FF2B5EF4-FFF2-40B4-BE49-F238E27FC236}">
              <a16:creationId xmlns:a16="http://schemas.microsoft.com/office/drawing/2014/main" id="{6004A5F4-3490-80A2-384C-12C39334EB59}"/>
            </a:ext>
          </a:extLst>
        </xdr:cNvPr>
        <xdr:cNvSpPr/>
      </xdr:nvSpPr>
      <xdr:spPr>
        <a:xfrm>
          <a:off x="5373462" y="332015"/>
          <a:ext cx="989238"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19</xdr:col>
      <xdr:colOff>657224</xdr:colOff>
      <xdr:row>1</xdr:row>
      <xdr:rowOff>142876</xdr:rowOff>
    </xdr:from>
    <xdr:to>
      <xdr:col>21</xdr:col>
      <xdr:colOff>419099</xdr:colOff>
      <xdr:row>3</xdr:row>
      <xdr:rowOff>142876</xdr:rowOff>
    </xdr:to>
    <xdr:sp macro="" textlink="">
      <xdr:nvSpPr>
        <xdr:cNvPr id="43" name="Rectangle: Rounded Corners 42">
          <a:extLst>
            <a:ext uri="{FF2B5EF4-FFF2-40B4-BE49-F238E27FC236}">
              <a16:creationId xmlns:a16="http://schemas.microsoft.com/office/drawing/2014/main" id="{079FACF6-CAFF-9198-859F-CB6279048196}"/>
            </a:ext>
          </a:extLst>
        </xdr:cNvPr>
        <xdr:cNvSpPr/>
      </xdr:nvSpPr>
      <xdr:spPr>
        <a:xfrm>
          <a:off x="13144499" y="333376"/>
          <a:ext cx="1076325"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16</xdr:col>
      <xdr:colOff>84364</xdr:colOff>
      <xdr:row>1</xdr:row>
      <xdr:rowOff>140156</xdr:rowOff>
    </xdr:from>
    <xdr:to>
      <xdr:col>18</xdr:col>
      <xdr:colOff>209550</xdr:colOff>
      <xdr:row>3</xdr:row>
      <xdr:rowOff>140156</xdr:rowOff>
    </xdr:to>
    <xdr:sp macro="" textlink="">
      <xdr:nvSpPr>
        <xdr:cNvPr id="44" name="Rectangle: Rounded Corners 43">
          <a:extLst>
            <a:ext uri="{FF2B5EF4-FFF2-40B4-BE49-F238E27FC236}">
              <a16:creationId xmlns:a16="http://schemas.microsoft.com/office/drawing/2014/main" id="{16635144-2336-3314-430D-5ED2D49877A0}"/>
            </a:ext>
          </a:extLst>
        </xdr:cNvPr>
        <xdr:cNvSpPr/>
      </xdr:nvSpPr>
      <xdr:spPr>
        <a:xfrm>
          <a:off x="10599964" y="330656"/>
          <a:ext cx="1439636"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xdr:from>
      <xdr:col>12</xdr:col>
      <xdr:colOff>92528</xdr:colOff>
      <xdr:row>1</xdr:row>
      <xdr:rowOff>142877</xdr:rowOff>
    </xdr:from>
    <xdr:to>
      <xdr:col>14</xdr:col>
      <xdr:colOff>57149</xdr:colOff>
      <xdr:row>3</xdr:row>
      <xdr:rowOff>142877</xdr:rowOff>
    </xdr:to>
    <xdr:sp macro="" textlink="">
      <xdr:nvSpPr>
        <xdr:cNvPr id="45" name="Rectangle: Rounded Corners 44">
          <a:extLst>
            <a:ext uri="{FF2B5EF4-FFF2-40B4-BE49-F238E27FC236}">
              <a16:creationId xmlns:a16="http://schemas.microsoft.com/office/drawing/2014/main" id="{51081DF8-8F6E-170E-DAFC-860E6DA0EB4B}"/>
            </a:ext>
          </a:extLst>
        </xdr:cNvPr>
        <xdr:cNvSpPr/>
      </xdr:nvSpPr>
      <xdr:spPr>
        <a:xfrm>
          <a:off x="7979228" y="333377"/>
          <a:ext cx="1279071" cy="381000"/>
        </a:xfrm>
        <a:prstGeom prst="roundRect">
          <a:avLst>
            <a:gd name="adj" fmla="val 4167"/>
          </a:avLst>
        </a:prstGeom>
        <a:noFill/>
        <a:ln>
          <a:solidFill>
            <a:srgbClr val="E7954D">
              <a:alpha val="44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clientData/>
  </xdr:twoCellAnchor>
  <xdr:twoCellAnchor editAs="oneCell">
    <xdr:from>
      <xdr:col>1</xdr:col>
      <xdr:colOff>63955</xdr:colOff>
      <xdr:row>11</xdr:row>
      <xdr:rowOff>77564</xdr:rowOff>
    </xdr:from>
    <xdr:to>
      <xdr:col>2</xdr:col>
      <xdr:colOff>523876</xdr:colOff>
      <xdr:row>22</xdr:row>
      <xdr:rowOff>180975</xdr:rowOff>
    </xdr:to>
    <mc:AlternateContent xmlns:mc="http://schemas.openxmlformats.org/markup-compatibility/2006">
      <mc:Choice xmlns:a14="http://schemas.microsoft.com/office/drawing/2010/main" Requires="a14">
        <xdr:graphicFrame macro="">
          <xdr:nvGraphicFramePr>
            <xdr:cNvPr id="46" name="State 1">
              <a:extLst>
                <a:ext uri="{FF2B5EF4-FFF2-40B4-BE49-F238E27FC236}">
                  <a16:creationId xmlns:a16="http://schemas.microsoft.com/office/drawing/2014/main" id="{5554FE50-78DA-4A8D-9E13-E0B4B580236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722541" y="2173064"/>
              <a:ext cx="1117146" cy="220027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10885</xdr:colOff>
      <xdr:row>11</xdr:row>
      <xdr:rowOff>77564</xdr:rowOff>
    </xdr:from>
    <xdr:to>
      <xdr:col>6</xdr:col>
      <xdr:colOff>468084</xdr:colOff>
      <xdr:row>22</xdr:row>
      <xdr:rowOff>183700</xdr:rowOff>
    </xdr:to>
    <mc:AlternateContent xmlns:mc="http://schemas.openxmlformats.org/markup-compatibility/2006">
      <mc:Choice xmlns:a14="http://schemas.microsoft.com/office/drawing/2010/main" Requires="a14">
        <xdr:graphicFrame macro="">
          <xdr:nvGraphicFramePr>
            <xdr:cNvPr id="47" name="Seller 1">
              <a:extLst>
                <a:ext uri="{FF2B5EF4-FFF2-40B4-BE49-F238E27FC236}">
                  <a16:creationId xmlns:a16="http://schemas.microsoft.com/office/drawing/2014/main" id="{410C3C65-28CD-403C-AA3F-C493B9F93B25}"/>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dr:sp macro="" textlink="">
          <xdr:nvSpPr>
            <xdr:cNvPr id="0" name=""/>
            <xdr:cNvSpPr>
              <a:spLocks noTextEdit="1"/>
            </xdr:cNvSpPr>
          </xdr:nvSpPr>
          <xdr:spPr>
            <a:xfrm>
              <a:off x="3295649" y="2173064"/>
              <a:ext cx="1114424" cy="2197554"/>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608238</xdr:colOff>
      <xdr:row>11</xdr:row>
      <xdr:rowOff>77563</xdr:rowOff>
    </xdr:from>
    <xdr:to>
      <xdr:col>4</xdr:col>
      <xdr:colOff>578304</xdr:colOff>
      <xdr:row>22</xdr:row>
      <xdr:rowOff>180974</xdr:rowOff>
    </xdr:to>
    <mc:AlternateContent xmlns:mc="http://schemas.openxmlformats.org/markup-compatibility/2006">
      <mc:Choice xmlns:a14="http://schemas.microsoft.com/office/drawing/2010/main" Requires="a14">
        <xdr:graphicFrame macro="">
          <xdr:nvGraphicFramePr>
            <xdr:cNvPr id="48" name="Category 1">
              <a:extLst>
                <a:ext uri="{FF2B5EF4-FFF2-40B4-BE49-F238E27FC236}">
                  <a16:creationId xmlns:a16="http://schemas.microsoft.com/office/drawing/2014/main" id="{1F88F2B4-09C8-47B7-842E-766983ECAF6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22688" y="2173063"/>
              <a:ext cx="1288598" cy="220027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66675</xdr:colOff>
      <xdr:row>6</xdr:row>
      <xdr:rowOff>57150</xdr:rowOff>
    </xdr:from>
    <xdr:to>
      <xdr:col>6</xdr:col>
      <xdr:colOff>465363</xdr:colOff>
      <xdr:row>11</xdr:row>
      <xdr:rowOff>0</xdr:rowOff>
    </xdr:to>
    <mc:AlternateContent xmlns:mc="http://schemas.openxmlformats.org/markup-compatibility/2006">
      <mc:Choice xmlns:a14="http://schemas.microsoft.com/office/drawing/2010/main" Requires="a14">
        <xdr:graphicFrame macro="">
          <xdr:nvGraphicFramePr>
            <xdr:cNvPr id="49" name="Month 1">
              <a:extLst>
                <a:ext uri="{FF2B5EF4-FFF2-40B4-BE49-F238E27FC236}">
                  <a16:creationId xmlns:a16="http://schemas.microsoft.com/office/drawing/2014/main" id="{05C2C423-30C3-496E-B4C9-75B97BD3990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25261" y="1197429"/>
              <a:ext cx="3687534" cy="898071"/>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66677</xdr:colOff>
      <xdr:row>23</xdr:row>
      <xdr:rowOff>84363</xdr:rowOff>
    </xdr:from>
    <xdr:to>
      <xdr:col>6</xdr:col>
      <xdr:colOff>466725</xdr:colOff>
      <xdr:row>36</xdr:row>
      <xdr:rowOff>114300</xdr:rowOff>
    </xdr:to>
    <xdr:graphicFrame macro="">
      <xdr:nvGraphicFramePr>
        <xdr:cNvPr id="50" name="Chart 49">
          <a:extLst>
            <a:ext uri="{FF2B5EF4-FFF2-40B4-BE49-F238E27FC236}">
              <a16:creationId xmlns:a16="http://schemas.microsoft.com/office/drawing/2014/main" id="{51C0C16A-5752-4014-B4F5-91BDBBE77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259896</xdr:colOff>
      <xdr:row>13</xdr:row>
      <xdr:rowOff>28575</xdr:rowOff>
    </xdr:from>
    <xdr:to>
      <xdr:col>18</xdr:col>
      <xdr:colOff>498020</xdr:colOff>
      <xdr:row>37</xdr:row>
      <xdr:rowOff>28575</xdr:rowOff>
    </xdr:to>
    <xdr:graphicFrame macro="">
      <xdr:nvGraphicFramePr>
        <xdr:cNvPr id="51" name="Chart 50">
          <a:extLst>
            <a:ext uri="{FF2B5EF4-FFF2-40B4-BE49-F238E27FC236}">
              <a16:creationId xmlns:a16="http://schemas.microsoft.com/office/drawing/2014/main" id="{78CD9350-A55D-4139-A1FC-8783EFCD0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571500</xdr:colOff>
      <xdr:row>20</xdr:row>
      <xdr:rowOff>65315</xdr:rowOff>
    </xdr:from>
    <xdr:to>
      <xdr:col>14</xdr:col>
      <xdr:colOff>152400</xdr:colOff>
      <xdr:row>36</xdr:row>
      <xdr:rowOff>126546</xdr:rowOff>
    </xdr:to>
    <mc:AlternateContent xmlns:mc="http://schemas.openxmlformats.org/markup-compatibility/2006">
      <mc:Choice xmlns:cx4="http://schemas.microsoft.com/office/drawing/2016/5/10/chartex" Requires="cx4">
        <xdr:graphicFrame macro="">
          <xdr:nvGraphicFramePr>
            <xdr:cNvPr id="52" name="Chart 51">
              <a:extLst>
                <a:ext uri="{FF2B5EF4-FFF2-40B4-BE49-F238E27FC236}">
                  <a16:creationId xmlns:a16="http://schemas.microsoft.com/office/drawing/2014/main" id="{6B968C39-AF75-4599-992E-51118FF19C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4514850" y="3875315"/>
              <a:ext cx="4838700" cy="3109231"/>
            </a:xfrm>
            <a:prstGeom prst="rect">
              <a:avLst/>
            </a:prstGeom>
            <a:solidFill>
              <a:prstClr val="white"/>
            </a:solidFill>
            <a:ln w="1">
              <a:solidFill>
                <a:prstClr val="green"/>
              </a:solidFill>
            </a:ln>
          </xdr:spPr>
          <xdr:txBody>
            <a:bodyPr vertOverflow="clip" horzOverflow="clip"/>
            <a:lstStyle/>
            <a:p>
              <a:r>
                <a:rPr lang="en-FI"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20415</xdr:colOff>
      <xdr:row>14</xdr:row>
      <xdr:rowOff>12246</xdr:rowOff>
    </xdr:from>
    <xdr:to>
      <xdr:col>21</xdr:col>
      <xdr:colOff>361950</xdr:colOff>
      <xdr:row>19</xdr:row>
      <xdr:rowOff>19051</xdr:rowOff>
    </xdr:to>
    <xdr:graphicFrame macro="">
      <xdr:nvGraphicFramePr>
        <xdr:cNvPr id="53" name="Chart 52">
          <a:extLst>
            <a:ext uri="{FF2B5EF4-FFF2-40B4-BE49-F238E27FC236}">
              <a16:creationId xmlns:a16="http://schemas.microsoft.com/office/drawing/2014/main" id="{2F35CDFD-7EB2-4AD9-9D69-8099080B5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20</xdr:col>
      <xdr:colOff>17271</xdr:colOff>
      <xdr:row>15</xdr:row>
      <xdr:rowOff>58511</xdr:rowOff>
    </xdr:from>
    <xdr:ext cx="714793" cy="461729"/>
    <xdr:sp macro="" textlink="Analysis!$L$24">
      <xdr:nvSpPr>
        <xdr:cNvPr id="54" name="TextBox 53">
          <a:extLst>
            <a:ext uri="{FF2B5EF4-FFF2-40B4-BE49-F238E27FC236}">
              <a16:creationId xmlns:a16="http://schemas.microsoft.com/office/drawing/2014/main" id="{7659D504-BE6C-6ED1-DCAA-FCAEF18C2A36}"/>
            </a:ext>
          </a:extLst>
        </xdr:cNvPr>
        <xdr:cNvSpPr txBox="1"/>
      </xdr:nvSpPr>
      <xdr:spPr>
        <a:xfrm>
          <a:off x="13161771" y="2916011"/>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77ADA7E-3B4D-4787-BAE9-B7EB01B6647C}" type="TxLink">
            <a:rPr lang="en-US" sz="2400" b="0" i="0" u="none" strike="noStrike">
              <a:solidFill>
                <a:srgbClr val="000000"/>
              </a:solidFill>
              <a:latin typeface="Bahnschrift Light Condensed"/>
            </a:rPr>
            <a:t>48 %</a:t>
          </a:fld>
          <a:endParaRPr lang="en-FI" sz="2400">
            <a:solidFill>
              <a:srgbClr val="E7954D"/>
            </a:solidFill>
            <a:latin typeface="Bahnschrift SemiCondensed" panose="020B0502040204020203" pitchFamily="34" charset="0"/>
          </a:endParaRPr>
        </a:p>
      </xdr:txBody>
    </xdr:sp>
    <xdr:clientData/>
  </xdr:oneCellAnchor>
  <xdr:twoCellAnchor>
    <xdr:from>
      <xdr:col>20</xdr:col>
      <xdr:colOff>17694</xdr:colOff>
      <xdr:row>18</xdr:row>
      <xdr:rowOff>125185</xdr:rowOff>
    </xdr:from>
    <xdr:to>
      <xdr:col>21</xdr:col>
      <xdr:colOff>359229</xdr:colOff>
      <xdr:row>23</xdr:row>
      <xdr:rowOff>130630</xdr:rowOff>
    </xdr:to>
    <xdr:graphicFrame macro="">
      <xdr:nvGraphicFramePr>
        <xdr:cNvPr id="59" name="Chart 58">
          <a:extLst>
            <a:ext uri="{FF2B5EF4-FFF2-40B4-BE49-F238E27FC236}">
              <a16:creationId xmlns:a16="http://schemas.microsoft.com/office/drawing/2014/main" id="{A7E651F5-68E3-9923-EB0D-90421742F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oneCellAnchor>
    <xdr:from>
      <xdr:col>20</xdr:col>
      <xdr:colOff>19992</xdr:colOff>
      <xdr:row>19</xdr:row>
      <xdr:rowOff>170090</xdr:rowOff>
    </xdr:from>
    <xdr:ext cx="714793" cy="461729"/>
    <xdr:sp macro="" textlink="Analysis!$L$24">
      <xdr:nvSpPr>
        <xdr:cNvPr id="60" name="TextBox 59">
          <a:extLst>
            <a:ext uri="{FF2B5EF4-FFF2-40B4-BE49-F238E27FC236}">
              <a16:creationId xmlns:a16="http://schemas.microsoft.com/office/drawing/2014/main" id="{23B81994-297F-FA0D-2ED1-C517DF6D86D5}"/>
            </a:ext>
          </a:extLst>
        </xdr:cNvPr>
        <xdr:cNvSpPr txBox="1"/>
      </xdr:nvSpPr>
      <xdr:spPr>
        <a:xfrm>
          <a:off x="13164492" y="3789590"/>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77ADA7E-3B4D-4787-BAE9-B7EB01B6647C}" type="TxLink">
            <a:rPr lang="en-US" sz="2400" b="0" i="0" u="none" strike="noStrike">
              <a:solidFill>
                <a:srgbClr val="000000"/>
              </a:solidFill>
              <a:latin typeface="Bahnschrift Light Condensed"/>
            </a:rPr>
            <a:t>48 %</a:t>
          </a:fld>
          <a:endParaRPr lang="en-FI" sz="2400">
            <a:solidFill>
              <a:srgbClr val="E7954D"/>
            </a:solidFill>
            <a:latin typeface="Bahnschrift SemiCondensed" panose="020B0502040204020203" pitchFamily="34" charset="0"/>
          </a:endParaRPr>
        </a:p>
      </xdr:txBody>
    </xdr:sp>
    <xdr:clientData/>
  </xdr:oneCellAnchor>
  <xdr:twoCellAnchor>
    <xdr:from>
      <xdr:col>20</xdr:col>
      <xdr:colOff>20415</xdr:colOff>
      <xdr:row>22</xdr:row>
      <xdr:rowOff>161924</xdr:rowOff>
    </xdr:from>
    <xdr:to>
      <xdr:col>21</xdr:col>
      <xdr:colOff>361950</xdr:colOff>
      <xdr:row>27</xdr:row>
      <xdr:rowOff>171451</xdr:rowOff>
    </xdr:to>
    <xdr:graphicFrame macro="">
      <xdr:nvGraphicFramePr>
        <xdr:cNvPr id="61" name="Chart 60">
          <a:extLst>
            <a:ext uri="{FF2B5EF4-FFF2-40B4-BE49-F238E27FC236}">
              <a16:creationId xmlns:a16="http://schemas.microsoft.com/office/drawing/2014/main" id="{F1238BF1-8FAC-5247-F642-C55AEC922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oneCellAnchor>
    <xdr:from>
      <xdr:col>20</xdr:col>
      <xdr:colOff>17271</xdr:colOff>
      <xdr:row>24</xdr:row>
      <xdr:rowOff>20411</xdr:rowOff>
    </xdr:from>
    <xdr:ext cx="714793" cy="461729"/>
    <xdr:sp macro="" textlink="Analysis!$L$24">
      <xdr:nvSpPr>
        <xdr:cNvPr id="62" name="TextBox 61">
          <a:extLst>
            <a:ext uri="{FF2B5EF4-FFF2-40B4-BE49-F238E27FC236}">
              <a16:creationId xmlns:a16="http://schemas.microsoft.com/office/drawing/2014/main" id="{A683422E-C65E-0CF3-24BF-BD00347E0B93}"/>
            </a:ext>
          </a:extLst>
        </xdr:cNvPr>
        <xdr:cNvSpPr txBox="1"/>
      </xdr:nvSpPr>
      <xdr:spPr>
        <a:xfrm>
          <a:off x="13161771" y="4592411"/>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77ADA7E-3B4D-4787-BAE9-B7EB01B6647C}" type="TxLink">
            <a:rPr lang="en-US" sz="2400" b="0" i="0" u="none" strike="noStrike">
              <a:solidFill>
                <a:srgbClr val="000000"/>
              </a:solidFill>
              <a:latin typeface="Bahnschrift Light Condensed"/>
            </a:rPr>
            <a:t>48 %</a:t>
          </a:fld>
          <a:endParaRPr lang="en-FI" sz="2400">
            <a:solidFill>
              <a:srgbClr val="E7954D"/>
            </a:solidFill>
            <a:latin typeface="Bahnschrift SemiCondensed" panose="020B0502040204020203" pitchFamily="34" charset="0"/>
          </a:endParaRPr>
        </a:p>
      </xdr:txBody>
    </xdr:sp>
    <xdr:clientData/>
  </xdr:oneCellAnchor>
  <xdr:twoCellAnchor>
    <xdr:from>
      <xdr:col>20</xdr:col>
      <xdr:colOff>17694</xdr:colOff>
      <xdr:row>27</xdr:row>
      <xdr:rowOff>8163</xdr:rowOff>
    </xdr:from>
    <xdr:to>
      <xdr:col>21</xdr:col>
      <xdr:colOff>359229</xdr:colOff>
      <xdr:row>32</xdr:row>
      <xdr:rowOff>16330</xdr:rowOff>
    </xdr:to>
    <xdr:graphicFrame macro="">
      <xdr:nvGraphicFramePr>
        <xdr:cNvPr id="63" name="Chart 62">
          <a:extLst>
            <a:ext uri="{FF2B5EF4-FFF2-40B4-BE49-F238E27FC236}">
              <a16:creationId xmlns:a16="http://schemas.microsoft.com/office/drawing/2014/main" id="{D6545AD6-5865-D3D4-0B39-C90908E66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20</xdr:col>
      <xdr:colOff>19992</xdr:colOff>
      <xdr:row>28</xdr:row>
      <xdr:rowOff>55790</xdr:rowOff>
    </xdr:from>
    <xdr:ext cx="714793" cy="461729"/>
    <xdr:sp macro="" textlink="Analysis!$L$24">
      <xdr:nvSpPr>
        <xdr:cNvPr id="64" name="TextBox 63">
          <a:extLst>
            <a:ext uri="{FF2B5EF4-FFF2-40B4-BE49-F238E27FC236}">
              <a16:creationId xmlns:a16="http://schemas.microsoft.com/office/drawing/2014/main" id="{2EEE4B65-EBF8-6FBA-34D8-779ED3CBB333}"/>
            </a:ext>
          </a:extLst>
        </xdr:cNvPr>
        <xdr:cNvSpPr txBox="1"/>
      </xdr:nvSpPr>
      <xdr:spPr>
        <a:xfrm>
          <a:off x="13164492" y="5389790"/>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77ADA7E-3B4D-4787-BAE9-B7EB01B6647C}" type="TxLink">
            <a:rPr lang="en-US" sz="2400" b="0" i="0" u="none" strike="noStrike">
              <a:solidFill>
                <a:srgbClr val="000000"/>
              </a:solidFill>
              <a:latin typeface="Bahnschrift Light Condensed"/>
            </a:rPr>
            <a:t>48 %</a:t>
          </a:fld>
          <a:endParaRPr lang="en-FI" sz="2400">
            <a:solidFill>
              <a:srgbClr val="E7954D"/>
            </a:solidFill>
            <a:latin typeface="Bahnschrift SemiCondensed" panose="020B0502040204020203" pitchFamily="34" charset="0"/>
          </a:endParaRPr>
        </a:p>
      </xdr:txBody>
    </xdr:sp>
    <xdr:clientData/>
  </xdr:oneCellAnchor>
  <xdr:twoCellAnchor>
    <xdr:from>
      <xdr:col>20</xdr:col>
      <xdr:colOff>20415</xdr:colOff>
      <xdr:row>31</xdr:row>
      <xdr:rowOff>50345</xdr:rowOff>
    </xdr:from>
    <xdr:to>
      <xdr:col>21</xdr:col>
      <xdr:colOff>361950</xdr:colOff>
      <xdr:row>36</xdr:row>
      <xdr:rowOff>57151</xdr:rowOff>
    </xdr:to>
    <xdr:graphicFrame macro="">
      <xdr:nvGraphicFramePr>
        <xdr:cNvPr id="65" name="Chart 64">
          <a:extLst>
            <a:ext uri="{FF2B5EF4-FFF2-40B4-BE49-F238E27FC236}">
              <a16:creationId xmlns:a16="http://schemas.microsoft.com/office/drawing/2014/main" id="{CAEAEE72-9A98-1CF6-6201-3304F7226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oneCellAnchor>
    <xdr:from>
      <xdr:col>20</xdr:col>
      <xdr:colOff>17271</xdr:colOff>
      <xdr:row>32</xdr:row>
      <xdr:rowOff>96611</xdr:rowOff>
    </xdr:from>
    <xdr:ext cx="714793" cy="461729"/>
    <xdr:sp macro="" textlink="Analysis!$L$24">
      <xdr:nvSpPr>
        <xdr:cNvPr id="66" name="TextBox 65">
          <a:extLst>
            <a:ext uri="{FF2B5EF4-FFF2-40B4-BE49-F238E27FC236}">
              <a16:creationId xmlns:a16="http://schemas.microsoft.com/office/drawing/2014/main" id="{E9132AA0-3460-F2FD-C0C1-5BB248098EA7}"/>
            </a:ext>
          </a:extLst>
        </xdr:cNvPr>
        <xdr:cNvSpPr txBox="1"/>
      </xdr:nvSpPr>
      <xdr:spPr>
        <a:xfrm>
          <a:off x="13161771" y="6192611"/>
          <a:ext cx="714793" cy="461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77ADA7E-3B4D-4787-BAE9-B7EB01B6647C}" type="TxLink">
            <a:rPr lang="en-US" sz="2400" b="0" i="0" u="none" strike="noStrike">
              <a:solidFill>
                <a:srgbClr val="000000"/>
              </a:solidFill>
              <a:latin typeface="Bahnschrift Light Condensed"/>
            </a:rPr>
            <a:t>48 %</a:t>
          </a:fld>
          <a:endParaRPr lang="en-FI" sz="2400">
            <a:solidFill>
              <a:srgbClr val="E7954D"/>
            </a:solidFill>
            <a:latin typeface="Bahnschrift SemiCondensed" panose="020B0502040204020203"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14</xdr:col>
      <xdr:colOff>0</xdr:colOff>
      <xdr:row>16</xdr:row>
      <xdr:rowOff>168729</xdr:rowOff>
    </xdr:from>
    <xdr:to>
      <xdr:col>19</xdr:col>
      <xdr:colOff>198663</xdr:colOff>
      <xdr:row>29</xdr:row>
      <xdr:rowOff>66675</xdr:rowOff>
    </xdr:to>
    <xdr:graphicFrame macro="">
      <xdr:nvGraphicFramePr>
        <xdr:cNvPr id="17" name="Chart 16">
          <a:extLst>
            <a:ext uri="{FF2B5EF4-FFF2-40B4-BE49-F238E27FC236}">
              <a16:creationId xmlns:a16="http://schemas.microsoft.com/office/drawing/2014/main" id="{F1E67CBD-9ECB-45FB-9458-AD3D847B6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1504629" backgroundQuery="1" createdVersion="8" refreshedVersion="8" minRefreshableVersion="3" recordCount="0" supportSubquery="1" supportAdvancedDrill="1" xr:uid="{C62A1511-8A5F-4645-9F4D-F06DB70CC479}">
  <cacheSource type="external" connectionId="2"/>
  <cacheFields count="5">
    <cacheField name="[Measures].[Sum of Sales]" caption="Sum of Sales" numFmtId="0" hierarchy="11" level="32767"/>
    <cacheField name="[Measures].[Sum of Quantity]" caption="Sum of Quantity" numFmtId="0" hierarchy="12" level="32767"/>
    <cacheField name="[Measures].[Sum of Profit]" caption="Sum of Profit" numFmtId="0" hierarchy="13" level="32767"/>
    <cacheField name="[Measures].[Profit Margin]" caption="Profit Margin" numFmtId="0" hierarchy="14" level="32767"/>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4"/>
      </fieldsUsage>
    </cacheHierarchy>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oneField="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oneField="1">
      <fieldsUsage count="1">
        <fieldUsage x="1"/>
      </fieldsUsage>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fieldsUsage count="1">
        <fieldUsage x="2"/>
      </fieldsUsage>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3"/>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2662037" backgroundQuery="1" createdVersion="8" refreshedVersion="8" minRefreshableVersion="3" recordCount="0" supportSubquery="1" supportAdvancedDrill="1" xr:uid="{CD8D27D4-38E2-41E4-B917-63022A60F177}">
  <cacheSource type="external" connectionId="2"/>
  <cacheFields count="4">
    <cacheField name="[Measures].[Sum of Sales]" caption="Sum of Sales" numFmtId="0" hierarchy="11" level="32767"/>
    <cacheField name="[Measures].[Profit Margin]" caption="Profit Margin" numFmtId="0" hierarchy="14" level="32767"/>
    <cacheField name="[data].[Category.].[Category.]" caption="Category." numFmtId="0" hierarchy="3" level="1">
      <sharedItems count="5">
        <s v="Cloth."/>
        <s v="Electr."/>
        <s v="Fo. &amp; Be."/>
        <s v="Ho. Ap."/>
        <s v="Sp. &amp; Fi."/>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oneField="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3124999" backgroundQuery="1" createdVersion="8" refreshedVersion="8" minRefreshableVersion="3" recordCount="0" supportSubquery="1" supportAdvancedDrill="1" xr:uid="{7946CC98-3486-4374-904C-DF815AC71B39}">
  <cacheSource type="external" connectionId="2"/>
  <cacheFields count="4">
    <cacheField name="[data].[Month].[Month]" caption="Month" numFmtId="0" level="1">
      <sharedItems count="12">
        <s v="Apr"/>
        <s v="Aug"/>
        <s v="Dec"/>
        <s v="Feb"/>
        <s v="Jan"/>
        <s v="Jul"/>
        <s v="Jun"/>
        <s v="Mar"/>
        <s v="May"/>
        <s v="Nov"/>
        <s v="Oct"/>
        <s v="Sep"/>
      </sharedItems>
    </cacheField>
    <cacheField name="[Measures].[Sum of Sales]" caption="Sum of Sales" numFmtId="0" hierarchy="11" level="32767"/>
    <cacheField name="[Measures].[Sum of Profit]" caption="Sum of Profit" numFmtId="0" hierarchy="13" level="32767"/>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fieldsUsage count="2">
        <fieldUsage x="-1"/>
        <fieldUsage x="0"/>
      </fieldsUsage>
    </cacheHierarchy>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oneField="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fieldsUsage count="1">
        <fieldUsage x="2"/>
      </fieldsUsage>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3703707" backgroundQuery="1" createdVersion="8" refreshedVersion="8" minRefreshableVersion="3" recordCount="0" supportSubquery="1" supportAdvancedDrill="1" xr:uid="{0A3A6A91-FF98-4E97-AC23-DD0E3AC8AF14}">
  <cacheSource type="external" connectionId="2"/>
  <cacheFields count="4">
    <cacheField name="[Measures].[Sum of Sales]" caption="Sum of Sales" numFmtId="0" hierarchy="11" level="32767"/>
    <cacheField name="[Measures].[Sum of Profit]" caption="Sum of Profit" numFmtId="0" hierarchy="13" level="32767"/>
    <cacheField name="[data].[Seller].[Seller]" caption="Seller" numFmtId="0" hierarchy="1" level="1">
      <sharedItems count="7">
        <s v="Alice"/>
        <s v="Bob"/>
        <s v="Carol"/>
        <s v="Dave"/>
        <s v="Eve"/>
        <s v="Frank"/>
        <s v="Grace"/>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oneField="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oneField="1">
      <fieldsUsage count="1">
        <fieldUsage x="1"/>
      </fieldsUsage>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4166669" backgroundQuery="1" createdVersion="8" refreshedVersion="8" minRefreshableVersion="3" recordCount="0" supportSubquery="1" supportAdvancedDrill="1" xr:uid="{8B202F2D-4175-48BD-BF22-09C8711A1D1D}">
  <cacheSource type="external" connectionId="2"/>
  <cacheFields count="4">
    <cacheField name="[Measures].[Sum of Sales]" caption="Sum of Sales" numFmtId="0" hierarchy="11" level="32767"/>
    <cacheField name="[Measures].[Profit Margin]" caption="Profit Margin" numFmtId="0" hierarchy="14" level="32767"/>
    <cacheField name="[data].[State].[State]" caption="State" numFmtId="0" hierarchy="6" level="1">
      <sharedItems count="6">
        <s v="California"/>
        <s v="Florida"/>
        <s v="Illinois"/>
        <s v="New York"/>
        <s v="Pennsylvania"/>
        <s v="Texas"/>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3"/>
      </fieldsUsage>
    </cacheHierarchy>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oneField="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4861108" backgroundQuery="1" createdVersion="8" refreshedVersion="8" minRefreshableVersion="3" recordCount="0" supportSubquery="1" supportAdvancedDrill="1" xr:uid="{7F8C03CF-BBC8-4FA5-9738-118E367D1821}">
  <cacheSource type="external" connectionId="2"/>
  <cacheFields count="3">
    <cacheField name="[Measures].[Profit Margin]" caption="Profit Margin" numFmtId="0" hierarchy="14" level="32767"/>
    <cacheField name="[data].[Category.].[Category.]" caption="Category." numFmtId="0" hierarchy="3" level="1">
      <sharedItems count="1">
        <s v="Cloth."/>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5324077" backgroundQuery="1" createdVersion="8" refreshedVersion="8" minRefreshableVersion="3" recordCount="0" supportSubquery="1" supportAdvancedDrill="1" xr:uid="{249786A7-1B1C-4E35-B337-BE5C2818FDDE}">
  <cacheSource type="external" connectionId="2"/>
  <cacheFields count="3">
    <cacheField name="[Measures].[Profit Margin]" caption="Profit Margin" numFmtId="0" hierarchy="14" level="32767"/>
    <cacheField name="[data].[Category.].[Category.]" caption="Category." numFmtId="0" hierarchy="3" level="1">
      <sharedItems count="1">
        <s v="Electr."/>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5787039" backgroundQuery="1" createdVersion="8" refreshedVersion="8" minRefreshableVersion="3" recordCount="0" supportSubquery="1" supportAdvancedDrill="1" xr:uid="{40003DBC-898E-471D-B5B8-57CE51BCC64B}">
  <cacheSource type="external" connectionId="2"/>
  <cacheFields count="3">
    <cacheField name="[Measures].[Profit Margin]" caption="Profit Margin" numFmtId="0" hierarchy="14" level="32767"/>
    <cacheField name="[data].[Category.].[Category.]" caption="Category." numFmtId="0" hierarchy="3" level="1">
      <sharedItems count="1">
        <s v="Fo. &amp; Be."/>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636574" backgroundQuery="1" createdVersion="8" refreshedVersion="8" minRefreshableVersion="3" recordCount="0" supportSubquery="1" supportAdvancedDrill="1" xr:uid="{3AF18FE5-32D4-4520-BB46-FE93CF96EB94}">
  <cacheSource type="external" connectionId="2"/>
  <cacheFields count="3">
    <cacheField name="[Measures].[Profit Margin]" caption="Profit Margin" numFmtId="0" hierarchy="14" level="32767"/>
    <cacheField name="[data].[Category.].[Category.]" caption="Category." numFmtId="0" hierarchy="3" level="1">
      <sharedItems count="1">
        <s v="Ho. Ap."/>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7806944448" backgroundQuery="1" createdVersion="8" refreshedVersion="8" minRefreshableVersion="3" recordCount="0" supportSubquery="1" supportAdvancedDrill="1" xr:uid="{F8A3DB8C-BD9D-4EC3-BCD9-2DC098995AEB}">
  <cacheSource type="external" connectionId="2"/>
  <cacheFields count="3">
    <cacheField name="[Measures].[Profit Margin]" caption="Profit Margin" numFmtId="0" hierarchy="14" level="32767"/>
    <cacheField name="[data].[Category.].[Category.]" caption="Category." numFmtId="0" hierarchy="3" level="1">
      <sharedItems count="1">
        <s v="Sp. &amp; Fi."/>
      </sharedItems>
    </cacheField>
    <cacheField name="[data].[Category].[Category]" caption="Category" numFmtId="0" hierarchy="2" level="1">
      <sharedItems containsSemiMixedTypes="0" containsNonDate="0" containsString="0"/>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2"/>
      </fieldsUsage>
    </cacheHierarchy>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818115624999" backgroundQuery="1" createdVersion="8" refreshedVersion="8" minRefreshableVersion="3" recordCount="0" supportSubquery="1" supportAdvancedDrill="1" xr:uid="{768781A7-C34F-4971-A587-9A1F15BD7A27}">
  <cacheSource type="external" connectionId="2"/>
  <cacheFields count="3">
    <cacheField name="[Measures].[Sum of Sales]" caption="Sum of Sales" numFmtId="0" hierarchy="11" level="32767"/>
    <cacheField name="[data].[Category.].[Category.]" caption="Category." numFmtId="0" hierarchy="3" level="1">
      <sharedItems count="5">
        <s v="Cloth."/>
        <s v="Electr."/>
        <s v="Fo. &amp; Be."/>
        <s v="Ho. Ap."/>
        <s v="Sp. &amp; Fi."/>
      </sharedItems>
    </cacheField>
    <cacheField name="[data].[Product.].[Product.]" caption="Product." numFmtId="0" hierarchy="5" level="1">
      <sharedItems count="20">
        <s v="Jack."/>
        <s v="Jean."/>
        <s v="Swea."/>
        <s v="T-Sh."/>
        <s v="Came."/>
        <s v="Head."/>
        <s v="Lapt."/>
        <s v="Smar."/>
        <s v="Coff."/>
        <s v="Juic."/>
        <s v="Snac."/>
        <s v="Tea."/>
        <s v="Dish."/>
        <s v="Micr."/>
        <s v="Refr."/>
        <s v="Toas."/>
        <s v="Bicy."/>
        <s v="Dumb."/>
        <s v="Trea."/>
        <s v="Yoga."/>
      </sharedItems>
    </cacheField>
  </cacheFields>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1"/>
      </fieldsUsage>
    </cacheHierarchy>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2"/>
      </fieldsUsage>
    </cacheHierarchy>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oneField="1">
      <fieldsUsage count="1">
        <fieldUsage x="0"/>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suloluwa Fademi" refreshedDate="45780.789121064816" backgroundQuery="1" createdVersion="3" refreshedVersion="8" minRefreshableVersion="3" recordCount="0" supportSubquery="1" supportAdvancedDrill="1" xr:uid="{221B69EE-6C3E-41B5-8E8A-30F4AD35F6D2}">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data].[Month]" caption="Month" attribute="1" defaultMemberUniqueName="[data].[Month].[All]" allUniqueName="[data].[Month].[All]" dimensionUniqueName="[data]" displayFolder="" count="2" memberValueDatatype="130" unbalanced="0"/>
    <cacheHierarchy uniqueName="[data].[Seller]" caption="Seller" attribute="1" defaultMemberUniqueName="[data].[Seller].[All]" allUniqueName="[data].[Seller].[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cacheHierarchy uniqueName="[data].[Category.]" caption="Category." attribute="1" defaultMemberUniqueName="[data].[Category.].[All]" allUniqueName="[data].[Category.].[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Product.]" caption="Product." attribute="1" defaultMemberUniqueName="[data].[Product.].[All]" allUniqueName="[data].[Product.].[All]" dimensionUniqueName="[data]" displayFolder="" count="0" memberValueDatatype="130" unbalanced="0"/>
    <cacheHierarchy uniqueName="[data].[State]" caption="State" attribute="1" defaultMemberUniqueName="[data].[State].[All]" allUniqueName="[data].[State].[All]" dimensionUniqueName="[data]" displayFolder="" count="2" memberValueDatatype="130" unbalanced="0"/>
    <cacheHierarchy uniqueName="[data].[State.]" caption="State." attribute="1" defaultMemberUniqueName="[data].[State.].[All]" allUniqueName="[data].[State.].[All]" dimensionUniqueName="[data]" displayFolder="" count="0" memberValueDatatype="130" unbalanced="0"/>
    <cacheHierarchy uniqueName="[data].[Quantity]" caption="Quantity" attribute="1" defaultMemberUniqueName="[data].[Quantity].[All]" allUniqueName="[data].[Quantity].[All]" dimensionUniqueName="[data]" displayFolder="" count="0" memberValueDatatype="20" unbalanced="0"/>
    <cacheHierarchy uniqueName="[data].[Sales]" caption="Sales" attribute="1" defaultMemberUniqueName="[data].[Sales].[All]" allUniqueName="[data].[Sales].[All]" dimensionUniqueName="[data]" displayFolder="" count="0" memberValueDatatype="5" unbalanced="0"/>
    <cacheHierarchy uniqueName="[data].[Profit]" caption="Profit" attribute="1" defaultMemberUniqueName="[data].[Profit].[All]" allUniqueName="[data].[Profit].[All]" dimensionUniqueName="[data]" displayFolder="" count="0" memberValueDatatype="5" unbalanced="0"/>
    <cacheHierarchy uniqueName="[Measures].[Sum of Sales]" caption="Sum of Sales" measure="1" displayFolder="" measureGroup="data" count="0">
      <extLst>
        <ext xmlns:x15="http://schemas.microsoft.com/office/spreadsheetml/2010/11/main" uri="{B97F6D7D-B522-45F9-BDA1-12C45D357490}">
          <x15:cacheHierarchy aggregatedColumn="9"/>
        </ext>
      </extLst>
    </cacheHierarchy>
    <cacheHierarchy uniqueName="[Measures].[Sum of Quantity]" caption="Sum of Quantity" measure="1" displayFolder="" measureGroup="data" count="0">
      <extLst>
        <ext xmlns:x15="http://schemas.microsoft.com/office/spreadsheetml/2010/11/main" uri="{B97F6D7D-B522-45F9-BDA1-12C45D357490}">
          <x15:cacheHierarchy aggregatedColumn="8"/>
        </ext>
      </extLst>
    </cacheHierarchy>
    <cacheHierarchy uniqueName="[Measures].[Sum of Profit]" caption="Sum of Profit" measure="1" displayFolder="" measureGroup="data" count="0">
      <extLst>
        <ext xmlns:x15="http://schemas.microsoft.com/office/spreadsheetml/2010/11/main" uri="{B97F6D7D-B522-45F9-BDA1-12C45D357490}">
          <x15:cacheHierarchy aggregatedColumn="10"/>
        </ext>
      </extLst>
    </cacheHierarchy>
    <cacheHierarchy uniqueName="[Measures].[Profit Margin]" caption="Profit Margin"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57642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F89227-64AC-48B0-950D-3E442BD58F9D}" name="PivotTable15" cacheId="917"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rowHeaderCaption="Category">
  <location ref="K35:L36"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dataFields>
  <formats count="13">
    <format dxfId="817">
      <pivotArea type="all" dataOnly="0" outline="0" fieldPosition="0"/>
    </format>
    <format dxfId="818">
      <pivotArea outline="0" collapsedLevelsAreSubtotals="1" fieldPosition="0"/>
    </format>
    <format dxfId="819">
      <pivotArea field="1" type="button" dataOnly="0" labelOnly="1" outline="0" axis="axisRow" fieldPosition="0"/>
    </format>
    <format dxfId="820">
      <pivotArea dataOnly="0" labelOnly="1" fieldPosition="0">
        <references count="1">
          <reference field="1" count="0"/>
        </references>
      </pivotArea>
    </format>
    <format dxfId="821">
      <pivotArea dataOnly="0" labelOnly="1" grandRow="1" outline="0" fieldPosition="0"/>
    </format>
    <format dxfId="822">
      <pivotArea dataOnly="0" labelOnly="1" outline="0" fieldPosition="0">
        <references count="1">
          <reference field="4294967294" count="1">
            <x v="0"/>
          </reference>
        </references>
      </pivotArea>
    </format>
    <format dxfId="823">
      <pivotArea type="all" dataOnly="0" outline="0" fieldPosition="0"/>
    </format>
    <format dxfId="824">
      <pivotArea outline="0" collapsedLevelsAreSubtotals="1" fieldPosition="0"/>
    </format>
    <format dxfId="825">
      <pivotArea field="1" type="button" dataOnly="0" labelOnly="1" outline="0" axis="axisRow" fieldPosition="0"/>
    </format>
    <format dxfId="826">
      <pivotArea dataOnly="0" labelOnly="1" fieldPosition="0">
        <references count="1">
          <reference field="1" count="0"/>
        </references>
      </pivotArea>
    </format>
    <format dxfId="827">
      <pivotArea dataOnly="0" labelOnly="1" grandRow="1" outline="0" fieldPosition="0"/>
    </format>
    <format dxfId="828">
      <pivotArea dataOnly="0" labelOnly="1" outline="0" fieldPosition="0">
        <references count="1">
          <reference field="4294967294" count="1">
            <x v="0"/>
          </reference>
        </references>
      </pivotArea>
    </format>
    <format dxfId="829">
      <pivotArea dataOnly="0" labelOnly="1"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75B804-F196-4775-BBDD-B6764E278EC5}" name="PivotTable14" cacheId="91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rowHeaderCaption="Category">
  <location ref="K32:L33"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85"/>
  </dataFields>
  <formats count="15">
    <format dxfId="830">
      <pivotArea type="all" dataOnly="0" outline="0" fieldPosition="0"/>
    </format>
    <format dxfId="831">
      <pivotArea outline="0" collapsedLevelsAreSubtotals="1" fieldPosition="0"/>
    </format>
    <format dxfId="832">
      <pivotArea field="1" type="button" dataOnly="0" labelOnly="1" outline="0" axis="axisRow" fieldPosition="0"/>
    </format>
    <format dxfId="833">
      <pivotArea dataOnly="0" labelOnly="1" fieldPosition="0">
        <references count="1">
          <reference field="1" count="0"/>
        </references>
      </pivotArea>
    </format>
    <format dxfId="834">
      <pivotArea dataOnly="0" labelOnly="1" grandRow="1" outline="0" fieldPosition="0"/>
    </format>
    <format dxfId="835">
      <pivotArea dataOnly="0" labelOnly="1" outline="0" fieldPosition="0">
        <references count="1">
          <reference field="4294967294" count="1">
            <x v="0"/>
          </reference>
        </references>
      </pivotArea>
    </format>
    <format dxfId="836">
      <pivotArea type="all" dataOnly="0" outline="0" fieldPosition="0"/>
    </format>
    <format dxfId="837">
      <pivotArea outline="0" collapsedLevelsAreSubtotals="1" fieldPosition="0"/>
    </format>
    <format dxfId="838">
      <pivotArea field="1" type="button" dataOnly="0" labelOnly="1" outline="0" axis="axisRow" fieldPosition="0"/>
    </format>
    <format dxfId="839">
      <pivotArea dataOnly="0" labelOnly="1" fieldPosition="0">
        <references count="1">
          <reference field="1" count="0"/>
        </references>
      </pivotArea>
    </format>
    <format dxfId="840">
      <pivotArea dataOnly="0" labelOnly="1" grandRow="1" outline="0" fieldPosition="0"/>
    </format>
    <format dxfId="841">
      <pivotArea dataOnly="0" labelOnly="1" outline="0" fieldPosition="0">
        <references count="1">
          <reference field="4294967294" count="1">
            <x v="0"/>
          </reference>
        </references>
      </pivotArea>
    </format>
    <format dxfId="842">
      <pivotArea dataOnly="0" labelOnly="1" outline="0" fieldPosition="0">
        <references count="1">
          <reference field="4294967294" count="1">
            <x v="0"/>
          </reference>
        </references>
      </pivotArea>
    </format>
    <format dxfId="60">
      <pivotArea outline="0" collapsedLevelsAreSubtotals="1" fieldPosition="0"/>
    </format>
    <format dxfId="5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A348A-F5B2-4B13-9808-179C345B2AF3}" name="PivotTable13" cacheId="911"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rowHeaderCaption="Category">
  <location ref="K29:L30"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85"/>
  </dataFields>
  <formats count="15">
    <format dxfId="843">
      <pivotArea type="all" dataOnly="0" outline="0" fieldPosition="0"/>
    </format>
    <format dxfId="844">
      <pivotArea outline="0" collapsedLevelsAreSubtotals="1" fieldPosition="0"/>
    </format>
    <format dxfId="845">
      <pivotArea field="1" type="button" dataOnly="0" labelOnly="1" outline="0" axis="axisRow" fieldPosition="0"/>
    </format>
    <format dxfId="846">
      <pivotArea dataOnly="0" labelOnly="1" fieldPosition="0">
        <references count="1">
          <reference field="1" count="0"/>
        </references>
      </pivotArea>
    </format>
    <format dxfId="847">
      <pivotArea dataOnly="0" labelOnly="1" grandRow="1" outline="0" fieldPosition="0"/>
    </format>
    <format dxfId="848">
      <pivotArea dataOnly="0" labelOnly="1" outline="0" fieldPosition="0">
        <references count="1">
          <reference field="4294967294" count="1">
            <x v="0"/>
          </reference>
        </references>
      </pivotArea>
    </format>
    <format dxfId="849">
      <pivotArea type="all" dataOnly="0" outline="0" fieldPosition="0"/>
    </format>
    <format dxfId="850">
      <pivotArea outline="0" collapsedLevelsAreSubtotals="1" fieldPosition="0"/>
    </format>
    <format dxfId="851">
      <pivotArea field="1" type="button" dataOnly="0" labelOnly="1" outline="0" axis="axisRow" fieldPosition="0"/>
    </format>
    <format dxfId="852">
      <pivotArea dataOnly="0" labelOnly="1" fieldPosition="0">
        <references count="1">
          <reference field="1" count="0"/>
        </references>
      </pivotArea>
    </format>
    <format dxfId="853">
      <pivotArea dataOnly="0" labelOnly="1" grandRow="1" outline="0" fieldPosition="0"/>
    </format>
    <format dxfId="854">
      <pivotArea dataOnly="0" labelOnly="1" outline="0" fieldPosition="0">
        <references count="1">
          <reference field="4294967294" count="1">
            <x v="0"/>
          </reference>
        </references>
      </pivotArea>
    </format>
    <format dxfId="855">
      <pivotArea dataOnly="0" labelOnly="1" outline="0" fieldPosition="0">
        <references count="1">
          <reference field="4294967294" count="1">
            <x v="0"/>
          </reference>
        </references>
      </pivotArea>
    </format>
    <format dxfId="40">
      <pivotArea outline="0" collapsedLevelsAreSubtotals="1" fieldPosition="0"/>
    </format>
    <format dxfId="3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C2346B-8D4A-4182-90E6-26E180AE265D}" name="PivotTable12" cacheId="908"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rowHeaderCaption="Category">
  <location ref="K26:L27"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85"/>
  </dataFields>
  <formats count="15">
    <format dxfId="856">
      <pivotArea type="all" dataOnly="0" outline="0" fieldPosition="0"/>
    </format>
    <format dxfId="857">
      <pivotArea outline="0" collapsedLevelsAreSubtotals="1" fieldPosition="0"/>
    </format>
    <format dxfId="858">
      <pivotArea field="1" type="button" dataOnly="0" labelOnly="1" outline="0" axis="axisRow" fieldPosition="0"/>
    </format>
    <format dxfId="859">
      <pivotArea dataOnly="0" labelOnly="1" fieldPosition="0">
        <references count="1">
          <reference field="1" count="0"/>
        </references>
      </pivotArea>
    </format>
    <format dxfId="860">
      <pivotArea dataOnly="0" labelOnly="1" grandRow="1" outline="0" fieldPosition="0"/>
    </format>
    <format dxfId="861">
      <pivotArea dataOnly="0" labelOnly="1" outline="0" fieldPosition="0">
        <references count="1">
          <reference field="4294967294" count="1">
            <x v="0"/>
          </reference>
        </references>
      </pivotArea>
    </format>
    <format dxfId="862">
      <pivotArea type="all" dataOnly="0" outline="0" fieldPosition="0"/>
    </format>
    <format dxfId="863">
      <pivotArea outline="0" collapsedLevelsAreSubtotals="1" fieldPosition="0"/>
    </format>
    <format dxfId="864">
      <pivotArea field="1" type="button" dataOnly="0" labelOnly="1" outline="0" axis="axisRow" fieldPosition="0"/>
    </format>
    <format dxfId="865">
      <pivotArea dataOnly="0" labelOnly="1" fieldPosition="0">
        <references count="1">
          <reference field="1" count="0"/>
        </references>
      </pivotArea>
    </format>
    <format dxfId="866">
      <pivotArea dataOnly="0" labelOnly="1" grandRow="1" outline="0" fieldPosition="0"/>
    </format>
    <format dxfId="867">
      <pivotArea dataOnly="0" labelOnly="1" outline="0" fieldPosition="0">
        <references count="1">
          <reference field="4294967294" count="1">
            <x v="0"/>
          </reference>
        </references>
      </pivotArea>
    </format>
    <format dxfId="868">
      <pivotArea dataOnly="0" labelOnly="1" outline="0" fieldPosition="0">
        <references count="1">
          <reference field="4294967294" count="1">
            <x v="0"/>
          </reference>
        </references>
      </pivotArea>
    </format>
    <format dxfId="20">
      <pivotArea outline="0" collapsedLevelsAreSubtotals="1" fieldPosition="0"/>
    </format>
    <format dxfId="1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25E5B-2D02-40A7-8BF8-A0994E20B002}" name="PivotTable11" cacheId="905"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4" rowHeaderCaption="Category">
  <location ref="K23:L24" firstHeaderRow="1" firstDataRow="1" firstDataCol="1"/>
  <pivotFields count="3">
    <pivotField dataField="1" showAll="0"/>
    <pivotField axis="axisRow" allDrilled="1" showAll="0" dataSourceSort="1" defaultAttributeDrillState="1">
      <items count="2">
        <item s="1" x="0"/>
        <item t="default"/>
      </items>
    </pivotField>
    <pivotField allDrilled="1" showAll="0" dataSourceSort="1" defaultAttributeDrillState="1"/>
  </pivotFields>
  <rowFields count="1">
    <field x="1"/>
  </rowFields>
  <rowItems count="1">
    <i>
      <x/>
    </i>
  </rowItems>
  <colItems count="1">
    <i/>
  </colItems>
  <dataFields count="1">
    <dataField fld="0" subtotal="count" baseField="0" baseItem="0" numFmtId="185"/>
  </dataFields>
  <formats count="14">
    <format dxfId="1681">
      <pivotArea type="all" dataOnly="0" outline="0" fieldPosition="0"/>
    </format>
    <format dxfId="1682">
      <pivotArea outline="0" collapsedLevelsAreSubtotals="1" fieldPosition="0"/>
    </format>
    <format dxfId="1683">
      <pivotArea field="1" type="button" dataOnly="0" labelOnly="1" outline="0" axis="axisRow" fieldPosition="0"/>
    </format>
    <format dxfId="1684">
      <pivotArea dataOnly="0" labelOnly="1" fieldPosition="0">
        <references count="1">
          <reference field="1" count="0"/>
        </references>
      </pivotArea>
    </format>
    <format dxfId="1685">
      <pivotArea dataOnly="0" labelOnly="1" grandRow="1" outline="0" fieldPosition="0"/>
    </format>
    <format dxfId="1686">
      <pivotArea dataOnly="0" labelOnly="1" outline="0" fieldPosition="0">
        <references count="1">
          <reference field="4294967294" count="1">
            <x v="0"/>
          </reference>
        </references>
      </pivotArea>
    </format>
    <format dxfId="1687">
      <pivotArea type="all" dataOnly="0" outline="0" fieldPosition="0"/>
    </format>
    <format dxfId="1688">
      <pivotArea outline="0" collapsedLevelsAreSubtotals="1" fieldPosition="0"/>
    </format>
    <format dxfId="1689">
      <pivotArea field="1" type="button" dataOnly="0" labelOnly="1" outline="0" axis="axisRow" fieldPosition="0"/>
    </format>
    <format dxfId="1690">
      <pivotArea dataOnly="0" labelOnly="1" fieldPosition="0">
        <references count="1">
          <reference field="1" count="0"/>
        </references>
      </pivotArea>
    </format>
    <format dxfId="1691">
      <pivotArea dataOnly="0" labelOnly="1" grandRow="1" outline="0" fieldPosition="0"/>
    </format>
    <format dxfId="1692">
      <pivotArea dataOnly="0" labelOnly="1" outline="0" fieldPosition="0">
        <references count="1">
          <reference field="4294967294" count="1">
            <x v="0"/>
          </reference>
        </references>
      </pivotArea>
    </format>
    <format dxfId="1693">
      <pivotArea dataOnly="0" labelOnly="1" outline="0" fieldPosition="0">
        <references count="1">
          <reference field="4294967294" count="1">
            <x v="0"/>
          </reference>
        </references>
      </pivotArea>
    </format>
    <format dxfId="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0652CC-1E37-462C-9A04-9749FEFD8A7C}" name="state_contribution" cacheId="902"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location ref="F18:H25" firstHeaderRow="0" firstDataRow="1" firstDataCol="1"/>
  <pivotFields count="4">
    <pivotField dataField="1" showAll="0"/>
    <pivotField dataField="1" showAll="0"/>
    <pivotField axis="axisRow" allDrilled="1" showAll="0" dataSourceSort="1" defaultAttributeDrillState="1">
      <items count="7">
        <item x="0"/>
        <item x="1"/>
        <item x="2"/>
        <item x="3"/>
        <item x="4"/>
        <item x="5"/>
        <item t="default"/>
      </items>
    </pivotField>
    <pivotField allDrilled="1" showAll="0" dataSourceSort="1" defaultAttributeDrillState="1"/>
  </pivotFields>
  <rowFields count="1">
    <field x="2"/>
  </rowFields>
  <rowItems count="7">
    <i>
      <x/>
    </i>
    <i>
      <x v="1"/>
    </i>
    <i>
      <x v="2"/>
    </i>
    <i>
      <x v="3"/>
    </i>
    <i>
      <x v="4"/>
    </i>
    <i>
      <x v="5"/>
    </i>
    <i t="grand">
      <x/>
    </i>
  </rowItems>
  <colFields count="1">
    <field x="-2"/>
  </colFields>
  <colItems count="2">
    <i>
      <x/>
    </i>
    <i i="1">
      <x v="1"/>
    </i>
  </colItems>
  <dataFields count="2">
    <dataField name="Total Sales" fld="0" baseField="0" baseItem="0"/>
    <dataField fld="1" subtotal="count" baseField="0" baseItem="0"/>
  </dataFields>
  <formats count="9">
    <format dxfId="1729">
      <pivotArea type="all" dataOnly="0" outline="0" fieldPosition="0"/>
    </format>
    <format dxfId="1730">
      <pivotArea outline="0" collapsedLevelsAreSubtotals="1" fieldPosition="0"/>
    </format>
    <format dxfId="1731">
      <pivotArea dataOnly="0" labelOnly="1" grandRow="1" outline="0" fieldPosition="0"/>
    </format>
    <format dxfId="1732">
      <pivotArea dataOnly="0" labelOnly="1" outline="0" fieldPosition="0">
        <references count="1">
          <reference field="4294967294" count="2">
            <x v="0"/>
            <x v="1"/>
          </reference>
        </references>
      </pivotArea>
    </format>
    <format dxfId="1733">
      <pivotArea type="all" dataOnly="0" outline="0" fieldPosition="0"/>
    </format>
    <format dxfId="1734">
      <pivotArea outline="0" collapsedLevelsAreSubtotals="1" fieldPosition="0"/>
    </format>
    <format dxfId="1735">
      <pivotArea dataOnly="0" labelOnly="1" grandRow="1" outline="0" fieldPosition="0"/>
    </format>
    <format dxfId="1736">
      <pivotArea dataOnly="0" labelOnly="1" outline="0" fieldPosition="0">
        <references count="1">
          <reference field="4294967294" count="2">
            <x v="0"/>
            <x v="1"/>
          </reference>
        </references>
      </pivotArea>
    </format>
    <format dxfId="1737">
      <pivotArea dataOnly="0" labelOnly="1" outline="0" fieldPosition="0">
        <references count="1">
          <reference field="4294967294" count="2">
            <x v="0"/>
            <x v="1"/>
          </reference>
        </references>
      </pivotArea>
    </format>
  </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1D2108-75C4-4845-8E50-FD816A405382}" name="cat._prod._by_sale_n_profit" cacheId="92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rowHeaderCaption="Catergory, Product">
  <location ref="P8:Q14" firstHeaderRow="1" firstDataRow="1" firstDataCol="1"/>
  <pivotFields count="3">
    <pivotField dataField="1" showAll="0"/>
    <pivotField axis="axisRow" allDrilled="1" showAll="0">
      <items count="6">
        <item x="0" e="0"/>
        <item x="1" e="0"/>
        <item x="4" e="0"/>
        <item x="2" e="0"/>
        <item x="3" e="0"/>
        <item t="default"/>
      </items>
    </pivotField>
    <pivotField axis="axisRow" allDrilled="1" showAll="0" dataSourceSort="1">
      <items count="21">
        <item x="0" e="0"/>
        <item x="1" e="0"/>
        <item x="2" e="0"/>
        <item x="3" e="0"/>
        <item x="4" e="0"/>
        <item x="5" e="0"/>
        <item x="6" e="0"/>
        <item x="7" e="0"/>
        <item x="8" e="0"/>
        <item x="9" e="0"/>
        <item x="10" e="0"/>
        <item x="11" e="0"/>
        <item x="12" e="0"/>
        <item x="13" e="0"/>
        <item x="14" e="0"/>
        <item x="15" e="0"/>
        <item x="16" e="0"/>
        <item x="17" e="0"/>
        <item x="18" e="0"/>
        <item x="19" e="0"/>
        <item t="default"/>
      </items>
    </pivotField>
  </pivotFields>
  <rowFields count="2">
    <field x="1"/>
    <field x="2"/>
  </rowFields>
  <rowItems count="6">
    <i>
      <x/>
    </i>
    <i>
      <x v="1"/>
    </i>
    <i>
      <x v="2"/>
    </i>
    <i>
      <x v="3"/>
    </i>
    <i>
      <x v="4"/>
    </i>
    <i t="grand">
      <x/>
    </i>
  </rowItems>
  <colItems count="1">
    <i/>
  </colItems>
  <dataFields count="1">
    <dataField name="Sum of Sales" fld="0" baseField="2" baseItem="2"/>
  </dataFields>
  <formats count="21">
    <format dxfId="1790">
      <pivotArea type="all" dataOnly="0" outline="0" fieldPosition="0"/>
    </format>
    <format dxfId="1789">
      <pivotArea outline="0" collapsedLevelsAreSubtotals="1" fieldPosition="0"/>
    </format>
    <format dxfId="1788">
      <pivotArea dataOnly="0" labelOnly="1" grandRow="1" outline="0" fieldPosition="0"/>
    </format>
    <format dxfId="1787">
      <pivotArea dataOnly="0" labelOnly="1" outline="0" fieldPosition="0">
        <references count="1">
          <reference field="4294967294" count="1">
            <x v="0"/>
          </reference>
        </references>
      </pivotArea>
    </format>
    <format dxfId="1765">
      <pivotArea type="all" dataOnly="0" outline="0" fieldPosition="0"/>
    </format>
    <format dxfId="1764">
      <pivotArea outline="0" collapsedLevelsAreSubtotals="1" fieldPosition="0"/>
    </format>
    <format dxfId="1763">
      <pivotArea dataOnly="0" labelOnly="1" grandRow="1" outline="0" fieldPosition="0"/>
    </format>
    <format dxfId="1762">
      <pivotArea dataOnly="0" labelOnly="1" outline="0" fieldPosition="0">
        <references count="1">
          <reference field="4294967294" count="1">
            <x v="0"/>
          </reference>
        </references>
      </pivotArea>
    </format>
    <format dxfId="1715">
      <pivotArea dataOnly="0" labelOnly="1" outline="0" fieldPosition="0">
        <references count="1">
          <reference field="4294967294" count="1">
            <x v="0"/>
          </reference>
        </references>
      </pivotArea>
    </format>
    <format dxfId="1707">
      <pivotArea outline="0" fieldPosition="0">
        <references count="1">
          <reference field="4294967294" count="1">
            <x v="0"/>
          </reference>
        </references>
      </pivotArea>
    </format>
    <format dxfId="1706">
      <pivotArea collapsedLevelsAreSubtotals="1" fieldPosition="0">
        <references count="1">
          <reference field="1" count="1">
            <x v="0"/>
          </reference>
        </references>
      </pivotArea>
    </format>
    <format dxfId="1705">
      <pivotArea collapsedLevelsAreSubtotals="1" fieldPosition="0">
        <references count="2">
          <reference field="1" count="1" selected="0">
            <x v="0"/>
          </reference>
          <reference field="2" count="4">
            <x v="0"/>
            <x v="1"/>
            <x v="2"/>
            <x v="3"/>
          </reference>
        </references>
      </pivotArea>
    </format>
    <format dxfId="1704">
      <pivotArea collapsedLevelsAreSubtotals="1" fieldPosition="0">
        <references count="1">
          <reference field="1" count="1">
            <x v="1"/>
          </reference>
        </references>
      </pivotArea>
    </format>
    <format dxfId="1703">
      <pivotArea collapsedLevelsAreSubtotals="1" fieldPosition="0">
        <references count="2">
          <reference field="1" count="1" selected="0">
            <x v="1"/>
          </reference>
          <reference field="2" count="4">
            <x v="4"/>
            <x v="5"/>
            <x v="6"/>
            <x v="7"/>
          </reference>
        </references>
      </pivotArea>
    </format>
    <format dxfId="1702">
      <pivotArea collapsedLevelsAreSubtotals="1" fieldPosition="0">
        <references count="1">
          <reference field="1" count="1">
            <x v="2"/>
          </reference>
        </references>
      </pivotArea>
    </format>
    <format dxfId="1701">
      <pivotArea collapsedLevelsAreSubtotals="1" fieldPosition="0">
        <references count="2">
          <reference field="1" count="1" selected="0">
            <x v="2"/>
          </reference>
          <reference field="2" count="4">
            <x v="16"/>
            <x v="17"/>
            <x v="18"/>
            <x v="19"/>
          </reference>
        </references>
      </pivotArea>
    </format>
    <format dxfId="1700">
      <pivotArea collapsedLevelsAreSubtotals="1" fieldPosition="0">
        <references count="1">
          <reference field="1" count="1">
            <x v="3"/>
          </reference>
        </references>
      </pivotArea>
    </format>
    <format dxfId="1699">
      <pivotArea collapsedLevelsAreSubtotals="1" fieldPosition="0">
        <references count="2">
          <reference field="1" count="1" selected="0">
            <x v="3"/>
          </reference>
          <reference field="2" count="4">
            <x v="8"/>
            <x v="9"/>
            <x v="10"/>
            <x v="11"/>
          </reference>
        </references>
      </pivotArea>
    </format>
    <format dxfId="1698">
      <pivotArea collapsedLevelsAreSubtotals="1" fieldPosition="0">
        <references count="1">
          <reference field="1" count="1">
            <x v="4"/>
          </reference>
        </references>
      </pivotArea>
    </format>
    <format dxfId="1697">
      <pivotArea collapsedLevelsAreSubtotals="1" fieldPosition="0">
        <references count="2">
          <reference field="1" count="1" selected="0">
            <x v="4"/>
          </reference>
          <reference field="2" count="4">
            <x v="12"/>
            <x v="13"/>
            <x v="14"/>
            <x v="15"/>
          </reference>
        </references>
      </pivotArea>
    </format>
    <format dxfId="1696">
      <pivotArea outline="0" collapsedLevelsAreSubtotals="1" fieldPosition="0"/>
    </format>
  </formats>
  <chartFormats count="21">
    <chartFormat chart="3" format="4" series="1">
      <pivotArea type="data" outline="0" fieldPosition="0">
        <references count="1">
          <reference field="4294967294" count="1" selected="0">
            <x v="0"/>
          </reference>
        </references>
      </pivotArea>
    </chartFormat>
    <chartFormat chart="3" format="6">
      <pivotArea type="data" outline="0" fieldPosition="0">
        <references count="3">
          <reference field="4294967294" count="1" selected="0">
            <x v="0"/>
          </reference>
          <reference field="1" count="1" selected="0">
            <x v="0"/>
          </reference>
          <reference field="2" count="1" selected="0">
            <x v="0"/>
          </reference>
        </references>
      </pivotArea>
    </chartFormat>
    <chartFormat chart="3" format="7">
      <pivotArea type="data" outline="0" fieldPosition="0">
        <references count="3">
          <reference field="4294967294" count="1" selected="0">
            <x v="0"/>
          </reference>
          <reference field="1" count="1" selected="0">
            <x v="0"/>
          </reference>
          <reference field="2" count="1" selected="0">
            <x v="1"/>
          </reference>
        </references>
      </pivotArea>
    </chartFormat>
    <chartFormat chart="3" format="8">
      <pivotArea type="data" outline="0" fieldPosition="0">
        <references count="3">
          <reference field="4294967294" count="1" selected="0">
            <x v="0"/>
          </reference>
          <reference field="1" count="1" selected="0">
            <x v="0"/>
          </reference>
          <reference field="2" count="1" selected="0">
            <x v="2"/>
          </reference>
        </references>
      </pivotArea>
    </chartFormat>
    <chartFormat chart="3" format="9">
      <pivotArea type="data" outline="0" fieldPosition="0">
        <references count="3">
          <reference field="4294967294" count="1" selected="0">
            <x v="0"/>
          </reference>
          <reference field="1" count="1" selected="0">
            <x v="0"/>
          </reference>
          <reference field="2" count="1" selected="0">
            <x v="3"/>
          </reference>
        </references>
      </pivotArea>
    </chartFormat>
    <chartFormat chart="3" format="10">
      <pivotArea type="data" outline="0" fieldPosition="0">
        <references count="3">
          <reference field="4294967294" count="1" selected="0">
            <x v="0"/>
          </reference>
          <reference field="1" count="1" selected="0">
            <x v="1"/>
          </reference>
          <reference field="2" count="1" selected="0">
            <x v="4"/>
          </reference>
        </references>
      </pivotArea>
    </chartFormat>
    <chartFormat chart="3" format="11">
      <pivotArea type="data" outline="0" fieldPosition="0">
        <references count="3">
          <reference field="4294967294" count="1" selected="0">
            <x v="0"/>
          </reference>
          <reference field="1" count="1" selected="0">
            <x v="1"/>
          </reference>
          <reference field="2" count="1" selected="0">
            <x v="5"/>
          </reference>
        </references>
      </pivotArea>
    </chartFormat>
    <chartFormat chart="3" format="12">
      <pivotArea type="data" outline="0" fieldPosition="0">
        <references count="3">
          <reference field="4294967294" count="1" selected="0">
            <x v="0"/>
          </reference>
          <reference field="1" count="1" selected="0">
            <x v="1"/>
          </reference>
          <reference field="2" count="1" selected="0">
            <x v="6"/>
          </reference>
        </references>
      </pivotArea>
    </chartFormat>
    <chartFormat chart="3" format="13">
      <pivotArea type="data" outline="0" fieldPosition="0">
        <references count="3">
          <reference field="4294967294" count="1" selected="0">
            <x v="0"/>
          </reference>
          <reference field="1" count="1" selected="0">
            <x v="1"/>
          </reference>
          <reference field="2" count="1" selected="0">
            <x v="7"/>
          </reference>
        </references>
      </pivotArea>
    </chartFormat>
    <chartFormat chart="3" format="14">
      <pivotArea type="data" outline="0" fieldPosition="0">
        <references count="3">
          <reference field="4294967294" count="1" selected="0">
            <x v="0"/>
          </reference>
          <reference field="1" count="1" selected="0">
            <x v="2"/>
          </reference>
          <reference field="2" count="1" selected="0">
            <x v="16"/>
          </reference>
        </references>
      </pivotArea>
    </chartFormat>
    <chartFormat chart="3" format="15">
      <pivotArea type="data" outline="0" fieldPosition="0">
        <references count="3">
          <reference field="4294967294" count="1" selected="0">
            <x v="0"/>
          </reference>
          <reference field="1" count="1" selected="0">
            <x v="2"/>
          </reference>
          <reference field="2" count="1" selected="0">
            <x v="17"/>
          </reference>
        </references>
      </pivotArea>
    </chartFormat>
    <chartFormat chart="3" format="16">
      <pivotArea type="data" outline="0" fieldPosition="0">
        <references count="3">
          <reference field="4294967294" count="1" selected="0">
            <x v="0"/>
          </reference>
          <reference field="1" count="1" selected="0">
            <x v="2"/>
          </reference>
          <reference field="2" count="1" selected="0">
            <x v="18"/>
          </reference>
        </references>
      </pivotArea>
    </chartFormat>
    <chartFormat chart="3" format="17">
      <pivotArea type="data" outline="0" fieldPosition="0">
        <references count="3">
          <reference field="4294967294" count="1" selected="0">
            <x v="0"/>
          </reference>
          <reference field="1" count="1" selected="0">
            <x v="2"/>
          </reference>
          <reference field="2" count="1" selected="0">
            <x v="19"/>
          </reference>
        </references>
      </pivotArea>
    </chartFormat>
    <chartFormat chart="3" format="18">
      <pivotArea type="data" outline="0" fieldPosition="0">
        <references count="3">
          <reference field="4294967294" count="1" selected="0">
            <x v="0"/>
          </reference>
          <reference field="1" count="1" selected="0">
            <x v="3"/>
          </reference>
          <reference field="2" count="1" selected="0">
            <x v="8"/>
          </reference>
        </references>
      </pivotArea>
    </chartFormat>
    <chartFormat chart="3" format="19">
      <pivotArea type="data" outline="0" fieldPosition="0">
        <references count="3">
          <reference field="4294967294" count="1" selected="0">
            <x v="0"/>
          </reference>
          <reference field="1" count="1" selected="0">
            <x v="3"/>
          </reference>
          <reference field="2" count="1" selected="0">
            <x v="9"/>
          </reference>
        </references>
      </pivotArea>
    </chartFormat>
    <chartFormat chart="3" format="20">
      <pivotArea type="data" outline="0" fieldPosition="0">
        <references count="3">
          <reference field="4294967294" count="1" selected="0">
            <x v="0"/>
          </reference>
          <reference field="1" count="1" selected="0">
            <x v="3"/>
          </reference>
          <reference field="2" count="1" selected="0">
            <x v="10"/>
          </reference>
        </references>
      </pivotArea>
    </chartFormat>
    <chartFormat chart="3" format="21">
      <pivotArea type="data" outline="0" fieldPosition="0">
        <references count="3">
          <reference field="4294967294" count="1" selected="0">
            <x v="0"/>
          </reference>
          <reference field="1" count="1" selected="0">
            <x v="3"/>
          </reference>
          <reference field="2" count="1" selected="0">
            <x v="11"/>
          </reference>
        </references>
      </pivotArea>
    </chartFormat>
    <chartFormat chart="3" format="22">
      <pivotArea type="data" outline="0" fieldPosition="0">
        <references count="3">
          <reference field="4294967294" count="1" selected="0">
            <x v="0"/>
          </reference>
          <reference field="1" count="1" selected="0">
            <x v="4"/>
          </reference>
          <reference field="2" count="1" selected="0">
            <x v="12"/>
          </reference>
        </references>
      </pivotArea>
    </chartFormat>
    <chartFormat chart="3" format="23">
      <pivotArea type="data" outline="0" fieldPosition="0">
        <references count="3">
          <reference field="4294967294" count="1" selected="0">
            <x v="0"/>
          </reference>
          <reference field="1" count="1" selected="0">
            <x v="4"/>
          </reference>
          <reference field="2" count="1" selected="0">
            <x v="13"/>
          </reference>
        </references>
      </pivotArea>
    </chartFormat>
    <chartFormat chart="3" format="24">
      <pivotArea type="data" outline="0" fieldPosition="0">
        <references count="3">
          <reference field="4294967294" count="1" selected="0">
            <x v="0"/>
          </reference>
          <reference field="1" count="1" selected="0">
            <x v="4"/>
          </reference>
          <reference field="2" count="1" selected="0">
            <x v="14"/>
          </reference>
        </references>
      </pivotArea>
    </chartFormat>
    <chartFormat chart="3" format="25">
      <pivotArea type="data" outline="0" fieldPosition="0">
        <references count="3">
          <reference field="4294967294" count="1" selected="0">
            <x v="0"/>
          </reference>
          <reference field="1" count="1" selected="0">
            <x v="4"/>
          </reference>
          <reference field="2" count="1" selected="0">
            <x v="15"/>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2">
    <rowHierarchyUsage hierarchyUsage="3"/>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B02C6-C3AC-4388-8DB8-191C33FA2DC4}" name="salesperson_performance" cacheId="899"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rowHeaderCaption="Seller">
  <location ref="K8:M16" firstHeaderRow="0" firstDataRow="1" firstDataCol="1"/>
  <pivotFields count="4">
    <pivotField dataField="1" showAll="0"/>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Fields count="1">
    <field x="-2"/>
  </colFields>
  <colItems count="2">
    <i>
      <x/>
    </i>
    <i i="1">
      <x v="1"/>
    </i>
  </colItems>
  <dataFields count="2">
    <dataField name="Total Sales" fld="0" baseField="2" baseItem="0"/>
    <dataField name="Total Profit" fld="1" baseField="2" baseItem="0"/>
  </dataFields>
  <formats count="14">
    <format dxfId="1786">
      <pivotArea type="all" dataOnly="0" outline="0" fieldPosition="0"/>
    </format>
    <format dxfId="1785">
      <pivotArea outline="0" collapsedLevelsAreSubtotals="1" fieldPosition="0"/>
    </format>
    <format dxfId="1784">
      <pivotArea field="2" type="button" dataOnly="0" labelOnly="1" outline="0" axis="axisRow" fieldPosition="0"/>
    </format>
    <format dxfId="1783">
      <pivotArea dataOnly="0" labelOnly="1" fieldPosition="0">
        <references count="1">
          <reference field="2" count="0"/>
        </references>
      </pivotArea>
    </format>
    <format dxfId="1782">
      <pivotArea dataOnly="0" labelOnly="1" grandRow="1" outline="0" fieldPosition="0"/>
    </format>
    <format dxfId="1781">
      <pivotArea dataOnly="0" labelOnly="1" outline="0" fieldPosition="0">
        <references count="1">
          <reference field="4294967294" count="2">
            <x v="0"/>
            <x v="1"/>
          </reference>
        </references>
      </pivotArea>
    </format>
    <format dxfId="1761">
      <pivotArea type="all" dataOnly="0" outline="0" fieldPosition="0"/>
    </format>
    <format dxfId="1760">
      <pivotArea outline="0" collapsedLevelsAreSubtotals="1" fieldPosition="0"/>
    </format>
    <format dxfId="1759">
      <pivotArea field="2" type="button" dataOnly="0" labelOnly="1" outline="0" axis="axisRow" fieldPosition="0"/>
    </format>
    <format dxfId="1758">
      <pivotArea dataOnly="0" labelOnly="1" fieldPosition="0">
        <references count="1">
          <reference field="2" count="0"/>
        </references>
      </pivotArea>
    </format>
    <format dxfId="1757">
      <pivotArea dataOnly="0" labelOnly="1" grandRow="1" outline="0" fieldPosition="0"/>
    </format>
    <format dxfId="1756">
      <pivotArea dataOnly="0" labelOnly="1" outline="0" fieldPosition="0">
        <references count="1">
          <reference field="4294967294" count="2">
            <x v="0"/>
            <x v="1"/>
          </reference>
        </references>
      </pivotArea>
    </format>
    <format dxfId="1740">
      <pivotArea dataOnly="0" labelOnly="1" outline="0" fieldPosition="0">
        <references count="1">
          <reference field="4294967294" count="2">
            <x v="0"/>
            <x v="1"/>
          </reference>
        </references>
      </pivotArea>
    </format>
    <format dxfId="1714">
      <pivotArea collapsedLevelsAreSubtotals="1" fieldPosition="0">
        <references count="2">
          <reference field="4294967294" count="1" selected="0">
            <x v="0"/>
          </reference>
          <reference field="2" count="1">
            <x v="6"/>
          </reference>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caption="Total Profit"/>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42CBE6-3158-4A09-84E4-C46E75AE0618}" name="category_perfomance" cacheId="893"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rowHeaderCaption="Category">
  <location ref="F8:H14" firstHeaderRow="0" firstDataRow="1" firstDataCol="1"/>
  <pivotFields count="4">
    <pivotField dataField="1" showAll="0"/>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Fields count="1">
    <field x="-2"/>
  </colFields>
  <colItems count="2">
    <i>
      <x/>
    </i>
    <i i="1">
      <x v="1"/>
    </i>
  </colItems>
  <dataFields count="2">
    <dataField name="Total Sales" fld="0" baseField="2" baseItem="0"/>
    <dataField fld="1" subtotal="count" baseField="0" baseItem="0"/>
  </dataFields>
  <formats count="13">
    <format dxfId="1780">
      <pivotArea type="all" dataOnly="0" outline="0" fieldPosition="0"/>
    </format>
    <format dxfId="1779">
      <pivotArea outline="0" collapsedLevelsAreSubtotals="1" fieldPosition="0"/>
    </format>
    <format dxfId="1778">
      <pivotArea field="2" type="button" dataOnly="0" labelOnly="1" outline="0" axis="axisRow" fieldPosition="0"/>
    </format>
    <format dxfId="1777">
      <pivotArea dataOnly="0" labelOnly="1" fieldPosition="0">
        <references count="1">
          <reference field="2" count="0"/>
        </references>
      </pivotArea>
    </format>
    <format dxfId="1776">
      <pivotArea dataOnly="0" labelOnly="1" grandRow="1" outline="0" fieldPosition="0"/>
    </format>
    <format dxfId="1775">
      <pivotArea dataOnly="0" labelOnly="1" outline="0" fieldPosition="0">
        <references count="1">
          <reference field="4294967294" count="2">
            <x v="0"/>
            <x v="1"/>
          </reference>
        </references>
      </pivotArea>
    </format>
    <format dxfId="1755">
      <pivotArea type="all" dataOnly="0" outline="0" fieldPosition="0"/>
    </format>
    <format dxfId="1754">
      <pivotArea outline="0" collapsedLevelsAreSubtotals="1" fieldPosition="0"/>
    </format>
    <format dxfId="1753">
      <pivotArea field="2" type="button" dataOnly="0" labelOnly="1" outline="0" axis="axisRow" fieldPosition="0"/>
    </format>
    <format dxfId="1752">
      <pivotArea dataOnly="0" labelOnly="1" fieldPosition="0">
        <references count="1">
          <reference field="2" count="0"/>
        </references>
      </pivotArea>
    </format>
    <format dxfId="1751">
      <pivotArea dataOnly="0" labelOnly="1" grandRow="1" outline="0" fieldPosition="0"/>
    </format>
    <format dxfId="1750">
      <pivotArea dataOnly="0" labelOnly="1" outline="0" fieldPosition="0">
        <references count="1">
          <reference field="4294967294" count="2">
            <x v="0"/>
            <x v="1"/>
          </reference>
        </references>
      </pivotArea>
    </format>
    <format dxfId="1738">
      <pivotArea dataOnly="0" labelOnly="1" outline="0" fieldPosition="0">
        <references count="1">
          <reference field="4294967294" count="2">
            <x v="0"/>
            <x v="1"/>
          </reference>
        </references>
      </pivotArea>
    </format>
  </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3D25E6-8483-47A4-8272-501C09465509}" name="sales_profit_by_month" cacheId="89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Month">
  <location ref="A8:C21" firstHeaderRow="0" firstDataRow="1" firstDataCol="1"/>
  <pivotFields count="4">
    <pivotField axis="axisRow" allDrilled="1" showAll="0" sortType="ascending" defaultAttributeDrillState="1">
      <items count="13">
        <item x="4"/>
        <item x="3"/>
        <item x="7"/>
        <item x="0"/>
        <item x="8"/>
        <item x="6"/>
        <item x="5"/>
        <item x="1"/>
        <item x="11"/>
        <item x="10"/>
        <item x="9"/>
        <item x="2"/>
        <item t="default"/>
      </items>
    </pivotField>
    <pivotField dataField="1" showAll="0"/>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 baseField="0" baseItem="0"/>
    <dataField name="Total Profit" fld="2" baseField="0" baseItem="0"/>
  </dataFields>
  <formats count="14">
    <format dxfId="1774">
      <pivotArea type="all" dataOnly="0" outline="0" fieldPosition="0"/>
    </format>
    <format dxfId="1773">
      <pivotArea outline="0" collapsedLevelsAreSubtotals="1" fieldPosition="0"/>
    </format>
    <format dxfId="1772">
      <pivotArea field="0" type="button" dataOnly="0" labelOnly="1" outline="0" axis="axisRow" fieldPosition="0"/>
    </format>
    <format dxfId="1771">
      <pivotArea dataOnly="0" labelOnly="1" fieldPosition="0">
        <references count="1">
          <reference field="0" count="0"/>
        </references>
      </pivotArea>
    </format>
    <format dxfId="1770">
      <pivotArea dataOnly="0" labelOnly="1" grandRow="1" outline="0" fieldPosition="0"/>
    </format>
    <format dxfId="1769">
      <pivotArea dataOnly="0" labelOnly="1" outline="0" fieldPosition="0">
        <references count="1">
          <reference field="4294967294" count="2">
            <x v="0"/>
            <x v="1"/>
          </reference>
        </references>
      </pivotArea>
    </format>
    <format dxfId="1749">
      <pivotArea type="all" dataOnly="0" outline="0" fieldPosition="0"/>
    </format>
    <format dxfId="1748">
      <pivotArea outline="0" collapsedLevelsAreSubtotals="1" fieldPosition="0"/>
    </format>
    <format dxfId="1747">
      <pivotArea field="0" type="button" dataOnly="0" labelOnly="1" outline="0" axis="axisRow" fieldPosition="0"/>
    </format>
    <format dxfId="1746">
      <pivotArea dataOnly="0" labelOnly="1" fieldPosition="0">
        <references count="1">
          <reference field="0" count="0"/>
        </references>
      </pivotArea>
    </format>
    <format dxfId="1745">
      <pivotArea dataOnly="0" labelOnly="1" grandRow="1" outline="0" fieldPosition="0"/>
    </format>
    <format dxfId="1744">
      <pivotArea dataOnly="0" labelOnly="1" outline="0" fieldPosition="0">
        <references count="1">
          <reference field="4294967294" count="2">
            <x v="0"/>
            <x v="1"/>
          </reference>
        </references>
      </pivotArea>
    </format>
    <format dxfId="1739">
      <pivotArea dataOnly="0" labelOnly="1" outline="0" fieldPosition="0">
        <references count="1">
          <reference field="4294967294" count="2">
            <x v="0"/>
            <x v="1"/>
          </reference>
        </references>
      </pivotArea>
    </format>
    <format dxfId="1713">
      <pivotArea collapsedLevelsAreSubtotals="1" fieldPosition="0">
        <references count="1">
          <reference field="0" count="0"/>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pivotHierarchy dragToData="1" caption="Total Profit"/>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43DDEAA-0B31-445C-863C-8AF4C426CEEA}" name="KPI" cacheId="88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Total Quantity" fld="1" baseField="0" baseItem="0"/>
    <dataField name="Total Sales" fld="0" baseField="0" baseItem="0" numFmtId="168"/>
    <dataField name="Total Profit" fld="2" baseField="0" baseItem="0" numFmtId="168"/>
    <dataField fld="3" subtotal="count" baseField="0" baseItem="0" numFmtId="10"/>
  </dataFields>
  <formats count="21">
    <format dxfId="1816">
      <pivotArea type="all" dataOnly="0" outline="0" fieldPosition="0"/>
    </format>
    <format dxfId="1815">
      <pivotArea outline="0" collapsedLevelsAreSubtotals="1" fieldPosition="0"/>
    </format>
    <format dxfId="1814">
      <pivotArea dataOnly="0" labelOnly="1" outline="0" fieldPosition="0">
        <references count="1">
          <reference field="4294967294" count="3">
            <x v="0"/>
            <x v="1"/>
            <x v="2"/>
          </reference>
        </references>
      </pivotArea>
    </format>
    <format dxfId="1813">
      <pivotArea dataOnly="0" labelOnly="1" outline="0" fieldPosition="0">
        <references count="1">
          <reference field="4294967294" count="3">
            <x v="0"/>
            <x v="1"/>
            <x v="2"/>
          </reference>
        </references>
      </pivotArea>
    </format>
    <format dxfId="1812">
      <pivotArea dataOnly="0" labelOnly="1" outline="0" fieldPosition="0">
        <references count="1">
          <reference field="4294967294" count="1">
            <x v="3"/>
          </reference>
        </references>
      </pivotArea>
    </format>
    <format dxfId="1811">
      <pivotArea dataOnly="0" labelOnly="1" outline="0" fieldPosition="0">
        <references count="1">
          <reference field="4294967294" count="4">
            <x v="0"/>
            <x v="1"/>
            <x v="2"/>
            <x v="3"/>
          </reference>
        </references>
      </pivotArea>
    </format>
    <format dxfId="1810">
      <pivotArea outline="0" collapsedLevelsAreSubtotals="1" fieldPosition="0"/>
    </format>
    <format dxfId="1809">
      <pivotArea type="all" dataOnly="0" outline="0" fieldPosition="0"/>
    </format>
    <format dxfId="1808">
      <pivotArea dataOnly="0" labelOnly="1" outline="0" fieldPosition="0">
        <references count="1">
          <reference field="4294967294" count="4">
            <x v="0"/>
            <x v="1"/>
            <x v="2"/>
            <x v="3"/>
          </reference>
        </references>
      </pivotArea>
    </format>
    <format dxfId="1807">
      <pivotArea type="all" dataOnly="0" outline="0" fieldPosition="0"/>
    </format>
    <format dxfId="1806">
      <pivotArea dataOnly="0" labelOnly="1" outline="0" fieldPosition="0">
        <references count="1">
          <reference field="4294967294" count="4">
            <x v="0"/>
            <x v="1"/>
            <x v="2"/>
            <x v="3"/>
          </reference>
        </references>
      </pivotArea>
    </format>
    <format dxfId="1792">
      <pivotArea outline="0" collapsedLevelsAreSubtotals="1" fieldPosition="0">
        <references count="1">
          <reference field="4294967294" count="1" selected="0">
            <x v="3"/>
          </reference>
        </references>
      </pivotArea>
    </format>
    <format dxfId="1791">
      <pivotArea dataOnly="0" labelOnly="1" outline="0" fieldPosition="0">
        <references count="1">
          <reference field="4294967294" count="4">
            <x v="0"/>
            <x v="1"/>
            <x v="2"/>
            <x v="3"/>
          </reference>
        </references>
      </pivotArea>
    </format>
    <format dxfId="1768">
      <pivotArea type="all" dataOnly="0" outline="0" fieldPosition="0"/>
    </format>
    <format dxfId="1767">
      <pivotArea outline="0" collapsedLevelsAreSubtotals="1" fieldPosition="0"/>
    </format>
    <format dxfId="1766">
      <pivotArea dataOnly="0" labelOnly="1" outline="0" fieldPosition="0">
        <references count="1">
          <reference field="4294967294" count="4">
            <x v="0"/>
            <x v="1"/>
            <x v="2"/>
            <x v="3"/>
          </reference>
        </references>
      </pivotArea>
    </format>
    <format dxfId="1743">
      <pivotArea type="all" dataOnly="0" outline="0" fieldPosition="0"/>
    </format>
    <format dxfId="1742">
      <pivotArea outline="0" collapsedLevelsAreSubtotals="1" fieldPosition="0"/>
    </format>
    <format dxfId="1741">
      <pivotArea dataOnly="0" labelOnly="1" outline="0" fieldPosition="0">
        <references count="1">
          <reference field="4294967294" count="4">
            <x v="0"/>
            <x v="1"/>
            <x v="2"/>
            <x v="3"/>
          </reference>
        </references>
      </pivotArea>
    </format>
    <format dxfId="1695">
      <pivotArea outline="0" collapsedLevelsAreSubtotals="1" fieldPosition="0">
        <references count="1">
          <reference field="4294967294" count="1" selected="0">
            <x v="1"/>
          </reference>
        </references>
      </pivotArea>
    </format>
    <format dxfId="1694">
      <pivotArea outline="0" collapsedLevelsAreSubtotals="1" fieldPosition="0">
        <references count="1">
          <reference field="4294967294" count="1" selected="0">
            <x v="2"/>
          </reference>
        </references>
      </pivotArea>
    </format>
  </formats>
  <pivotHierarchies count="17">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caption="Total Sales"/>
    <pivotHierarchy dragToData="1" caption="Total Quantity"/>
    <pivotHierarchy dragToData="1" caption="Total Profit"/>
    <pivotHierarchy dragToRow="0" dragToCol="0" dragToPage="0" dragToData="1"/>
    <pivotHierarchy dragToRow="0" dragToCol="0" dragToPage="0" dragToData="1"/>
    <pivotHierarchy dragToRow="0" dragToCol="0" dragToPage="0" dragToData="1"/>
  </pivotHierarchies>
  <pivotTableStyleInfo name="PivotStyleMedium2 2"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lite Retail Hub Sales Report.xlsx!data">
        <x15:activeTabTopLevelEntity name="[data]"/>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0BD44ED-04E2-46D8-976D-68493718E118}" autoFormatId="16" applyNumberFormats="0" applyBorderFormats="0" applyFontFormats="0" applyPatternFormats="0" applyAlignmentFormats="0" applyWidthHeightFormats="0">
  <queryTableRefresh nextId="21">
    <queryTableFields count="11">
      <queryTableField id="9" name="Month" tableColumnId="9"/>
      <queryTableField id="10" name="Seller" tableColumnId="10"/>
      <queryTableField id="11" name="Category" tableColumnId="11"/>
      <queryTableField id="17" dataBound="0" tableColumnId="17"/>
      <queryTableField id="12" name="Product" tableColumnId="12"/>
      <queryTableField id="18" dataBound="0" tableColumnId="18"/>
      <queryTableField id="13" name="State" tableColumnId="13"/>
      <queryTableField id="19" dataBound="0" tableColumnId="19"/>
      <queryTableField id="14" name="Quantity" tableColumnId="14"/>
      <queryTableField id="15" name="Sales" tableColumnId="15"/>
      <queryTableField id="16" name="Profi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5E1FDD4-E9D6-4DE0-AFD0-437016DD0818}" sourceName="[data].[State]">
  <pivotTables>
    <pivotTable tabId="4" name="KPI"/>
    <pivotTable tabId="4" name="sales_profit_by_month"/>
    <pivotTable tabId="4" name="category_perfomance"/>
    <pivotTable tabId="4" name="salesperson_performance"/>
    <pivotTable tabId="4" name="cat._prod._by_sale_n_profit"/>
    <pivotTable tabId="4" name="state_contribution"/>
    <pivotTable tabId="4" name="PivotTable11"/>
    <pivotTable tabId="4" name="PivotTable12"/>
    <pivotTable tabId="4" name="PivotTable13"/>
    <pivotTable tabId="4" name="PivotTable14"/>
    <pivotTable tabId="4" name="PivotTable15"/>
  </pivotTables>
  <data>
    <olap pivotCacheId="2125764246">
      <levels count="2">
        <level uniqueName="[data].[State].[(All)]" sourceCaption="(All)" count="0"/>
        <level uniqueName="[data].[State].[State]" sourceCaption="State" count="6">
          <ranges>
            <range startItem="0">
              <i n="[data].[State].&amp;[California]" c="California"/>
              <i n="[data].[State].&amp;[Florida]" c="Florida"/>
              <i n="[data].[State].&amp;[Illinois]" c="Illinois"/>
              <i n="[data].[State].&amp;[New York]" c="New York"/>
              <i n="[data].[State].&amp;[Pennsylvania]" c="Pennsylvania"/>
              <i n="[data].[State].&amp;[Texas]" c="Texas"/>
            </range>
          </ranges>
        </level>
      </levels>
      <selections count="1">
        <selection n="[data].[St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76E0D5E8-84C1-4551-BAFF-20550DF8B9B0}" sourceName="[data].[Seller]">
  <pivotTables>
    <pivotTable tabId="4" name="KPI"/>
    <pivotTable tabId="4" name="cat._prod._by_sale_n_profit"/>
    <pivotTable tabId="4" name="category_perfomance"/>
    <pivotTable tabId="4" name="sales_profit_by_month"/>
    <pivotTable tabId="4" name="salesperson_performance"/>
    <pivotTable tabId="4" name="state_contribution"/>
    <pivotTable tabId="4" name="PivotTable11"/>
    <pivotTable tabId="4" name="PivotTable12"/>
    <pivotTable tabId="4" name="PivotTable13"/>
    <pivotTable tabId="4" name="PivotTable14"/>
    <pivotTable tabId="4" name="PivotTable15"/>
  </pivotTables>
  <data>
    <olap pivotCacheId="2125764246">
      <levels count="2">
        <level uniqueName="[data].[Seller].[(All)]" sourceCaption="(All)" count="0"/>
        <level uniqueName="[data].[Seller].[Seller]" sourceCaption="Seller" count="7">
          <ranges>
            <range startItem="0">
              <i n="[data].[Seller].&amp;[Alice]" c="Alice"/>
              <i n="[data].[Seller].&amp;[Bob]" c="Bob"/>
              <i n="[data].[Seller].&amp;[Carol]" c="Carol"/>
              <i n="[data].[Seller].&amp;[Dave]" c="Dave"/>
              <i n="[data].[Seller].&amp;[Eve]" c="Eve"/>
              <i n="[data].[Seller].&amp;[Frank]" c="Frank"/>
              <i n="[data].[Seller].&amp;[Grace]" c="Grace"/>
            </range>
          </ranges>
        </level>
      </levels>
      <selections count="1">
        <selection n="[data].[Sell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EABF64C-EE3E-48C4-82BE-5FF36C57BBCA}" sourceName="[data].[Category]">
  <pivotTables>
    <pivotTable tabId="4" name="KPI"/>
    <pivotTable tabId="4" name="cat._prod._by_sale_n_profit"/>
    <pivotTable tabId="4" name="category_perfomance"/>
    <pivotTable tabId="4" name="sales_profit_by_month"/>
    <pivotTable tabId="4" name="salesperson_performance"/>
    <pivotTable tabId="4" name="state_contribution"/>
    <pivotTable tabId="4" name="PivotTable11"/>
    <pivotTable tabId="4" name="PivotTable12"/>
    <pivotTable tabId="4" name="PivotTable13"/>
    <pivotTable tabId="4" name="PivotTable14"/>
    <pivotTable tabId="4" name="PivotTable15"/>
  </pivotTables>
  <data>
    <olap pivotCacheId="2125764246">
      <levels count="2">
        <level uniqueName="[data].[Category].[(All)]" sourceCaption="(All)" count="0"/>
        <level uniqueName="[data].[Category].[Category]" sourceCaption="Category" count="5">
          <ranges>
            <range startItem="0">
              <i n="[data].[Category].&amp;[Clothing]" c="Clothing"/>
              <i n="[data].[Category].&amp;[Electronics]" c="Electronics"/>
              <i n="[data].[Category].&amp;[Food &amp; Beverages]" c="Food &amp; Beverages"/>
              <i n="[data].[Category].&amp;[Home Appliances]" c="Home Appliances"/>
              <i n="[data].[Category].&amp;[Sports &amp; Fitness]" c="Sports &amp; Fitness"/>
            </range>
          </ranges>
        </level>
      </levels>
      <selections count="1">
        <selection n="[data].[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AEF4AFA-52DC-48E4-993B-951E1E26ECFD}" sourceName="[data].[Month]">
  <pivotTables>
    <pivotTable tabId="4" name="KPI"/>
    <pivotTable tabId="4" name="cat._prod._by_sale_n_profit"/>
    <pivotTable tabId="4" name="category_perfomance"/>
    <pivotTable tabId="4" name="sales_profit_by_month"/>
    <pivotTable tabId="4" name="salesperson_performance"/>
    <pivotTable tabId="4" name="state_contribution"/>
    <pivotTable tabId="4" name="PivotTable11"/>
    <pivotTable tabId="4" name="PivotTable12"/>
    <pivotTable tabId="4" name="PivotTable13"/>
    <pivotTable tabId="4" name="PivotTable14"/>
    <pivotTable tabId="4" name="PivotTable15"/>
  </pivotTables>
  <data>
    <olap pivotCacheId="2125764246">
      <levels count="2">
        <level uniqueName="[data].[Month].[(All)]" sourceCaption="(All)" count="0"/>
        <level uniqueName="[data].[Month].[Month]" sourceCaption="Month" count="12">
          <ranges>
            <range startItem="0">
              <i n="[data].[Month].&amp;[Apr]" c="Apr"/>
              <i n="[data].[Month].&amp;[Aug]" c="Aug"/>
              <i n="[data].[Month].&amp;[Dec]" c="Dec"/>
              <i n="[data].[Month].&amp;[Feb]" c="Feb"/>
              <i n="[data].[Month].&amp;[Jan]" c="Jan"/>
              <i n="[data].[Month].&amp;[Jul]" c="Jul"/>
              <i n="[data].[Month].&amp;[Jun]" c="Jun"/>
              <i n="[data].[Month].&amp;[Mar]" c="Mar"/>
              <i n="[data].[Month].&amp;[May]" c="May"/>
              <i n="[data].[Month].&amp;[Nov]" c="Nov"/>
              <i n="[data].[Month].&amp;[Oct]" c="Oct"/>
              <i n="[data].[Month].&amp;[Sep]" c="Sep"/>
            </range>
          </ranges>
        </level>
      </levels>
      <selections count="1">
        <selection n="[dat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E1E7558F-A971-45AE-8290-D8A3370DE7EE}" cache="Slicer_State" caption="State" level="1" rowHeight="227693"/>
  <slicer name="Seller 1" xr10:uid="{6C67B39C-9B5F-44EA-9DEE-7907D550DEB0}" cache="Slicer_Seller" caption="Seller" level="1" rowHeight="227693"/>
  <slicer name="Category 1" xr10:uid="{E6CFBB8A-1460-446A-AB4E-4A06999E6954}" cache="Slicer_Category" caption="Category" level="1" rowHeight="227693"/>
  <slicer name="Month 1" xr10:uid="{3C374F22-17A0-4474-910A-BBD4A00EBA26}" cache="Slicer_Month" caption="Month" columnCount="6" level="1" rowHeight="22769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D8ACD7-A1A4-4D1D-B53B-067F68F2854E}" name="state_sales" displayName="state_sales" ref="F28:G34" totalsRowShown="0" tableBorderDxfId="1712">
  <autoFilter ref="F28:G34" xr:uid="{46D8ACD7-A1A4-4D1D-B53B-067F68F2854E}"/>
  <tableColumns count="2">
    <tableColumn id="1" xr3:uid="{5870EB25-92CA-47EA-A2CB-1FEC1E0F37A4}" name="State" dataDxfId="1711"/>
    <tableColumn id="2" xr3:uid="{6D8C9F4E-9068-40FF-9E4B-886C10533558}" name="Total Sales" dataDxfId="17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542A31-886A-4321-B3CA-579D2805D7C1}" name="data" displayName="data" ref="A1:K201" tableType="queryTable" totalsRowShown="0" headerRowDxfId="1805" dataDxfId="1804">
  <autoFilter ref="A1:K201" xr:uid="{7E542A31-886A-4321-B3CA-579D2805D7C1}"/>
  <tableColumns count="11">
    <tableColumn id="9" xr3:uid="{4D2A8577-46A3-4928-865C-13306D1F63CC}" uniqueName="9" name="Month" queryTableFieldId="9" dataDxfId="1803"/>
    <tableColumn id="10" xr3:uid="{3114D962-9036-49FE-945B-EE48928388D1}" uniqueName="10" name="Seller" queryTableFieldId="10" dataDxfId="1802"/>
    <tableColumn id="11" xr3:uid="{1DAE1C71-E5A0-43B9-A01C-D6CCBE0C4A91}" uniqueName="11" name="Category" queryTableFieldId="11" dataDxfId="1801"/>
    <tableColumn id="17" xr3:uid="{179CDE08-76AE-4E6B-822B-C86FBEB84782}" uniqueName="17" name="Category." queryTableFieldId="17" dataDxfId="1800">
      <calculatedColumnFormula>VLOOKUP(data[[#This Row],[Category]],Category.,2,0)</calculatedColumnFormula>
    </tableColumn>
    <tableColumn id="12" xr3:uid="{7CACDD5C-55BD-4282-AD23-7A12FE77D2FC}" uniqueName="12" name="Product" queryTableFieldId="12" dataDxfId="1799"/>
    <tableColumn id="18" xr3:uid="{E74F6F7A-4878-4DBC-9818-316D1E09AAFB}" uniqueName="18" name="Product." queryTableFieldId="18" dataDxfId="1798">
      <calculatedColumnFormula>VLOOKUP(data[[#This Row],[Product]],Product.,2,0)</calculatedColumnFormula>
    </tableColumn>
    <tableColumn id="13" xr3:uid="{F5A9579E-8887-48CC-B22C-F6C4EE6D95F0}" uniqueName="13" name="State" queryTableFieldId="13" dataDxfId="1797"/>
    <tableColumn id="19" xr3:uid="{8BAEEB31-80AB-42E0-9958-1C8B8ADDB4F8}" uniqueName="19" name="State." queryTableFieldId="19" dataDxfId="1796">
      <calculatedColumnFormula>VLOOKUP(data[[#This Row],[State]],State.,2,0)</calculatedColumnFormula>
    </tableColumn>
    <tableColumn id="14" xr3:uid="{E58F9CB5-D9F5-4772-A985-E3BA369CAA83}" uniqueName="14" name="Quantity" queryTableFieldId="14" dataDxfId="1795"/>
    <tableColumn id="15" xr3:uid="{D8EBFA90-D7AA-464B-9408-E7649178E928}" uniqueName="15" name="Sales" queryTableFieldId="15" dataDxfId="1794"/>
    <tableColumn id="16" xr3:uid="{34278668-750A-48EC-A9F8-23FA4C1796CE}" uniqueName="16" name="Profit" queryTableFieldId="16" dataDxfId="179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4E771-5EBB-4A19-8CEB-E7F964273539}">
  <sheetPr>
    <tabColor rgb="FF181824"/>
  </sheetPr>
  <dimension ref="A1:V37"/>
  <sheetViews>
    <sheetView showGridLines="0" tabSelected="1" workbookViewId="0">
      <selection activeCell="T17" sqref="T17"/>
    </sheetView>
  </sheetViews>
  <sheetFormatPr defaultRowHeight="15" x14ac:dyDescent="0.35"/>
  <cols>
    <col min="1" max="16384" width="9.23046875" style="1"/>
  </cols>
  <sheetData>
    <row r="1" spans="1:22" x14ac:dyDescent="0.35">
      <c r="A1" s="3"/>
      <c r="B1" s="3"/>
      <c r="C1" s="3"/>
      <c r="D1" s="3"/>
      <c r="E1" s="3"/>
      <c r="F1" s="3"/>
      <c r="G1" s="3"/>
      <c r="H1" s="3"/>
      <c r="I1" s="3"/>
      <c r="J1" s="3"/>
      <c r="K1" s="3"/>
      <c r="L1" s="3"/>
      <c r="M1" s="3"/>
      <c r="N1" s="3"/>
      <c r="O1" s="3"/>
      <c r="P1" s="3"/>
      <c r="Q1" s="3"/>
      <c r="R1" s="3"/>
      <c r="S1" s="3"/>
      <c r="T1" s="3"/>
      <c r="U1" s="3"/>
      <c r="V1" s="3"/>
    </row>
    <row r="2" spans="1:22" x14ac:dyDescent="0.35">
      <c r="A2" s="3"/>
      <c r="B2" s="3"/>
      <c r="C2" s="3"/>
      <c r="D2" s="3"/>
      <c r="E2" s="3"/>
      <c r="F2" s="3"/>
      <c r="G2" s="3"/>
      <c r="H2" s="3"/>
      <c r="I2" s="3"/>
      <c r="J2" s="3"/>
      <c r="K2" s="3"/>
      <c r="L2" s="3"/>
      <c r="M2" s="3"/>
      <c r="N2" s="3"/>
      <c r="O2" s="3"/>
      <c r="P2" s="3"/>
      <c r="Q2" s="3"/>
      <c r="R2" s="3"/>
      <c r="S2" s="3"/>
      <c r="T2" s="3"/>
      <c r="U2" s="3"/>
      <c r="V2" s="3"/>
    </row>
    <row r="3" spans="1:22" x14ac:dyDescent="0.35">
      <c r="A3" s="3"/>
      <c r="B3" s="3"/>
      <c r="C3" s="3"/>
      <c r="D3" s="3"/>
      <c r="E3" s="3"/>
      <c r="F3" s="3"/>
      <c r="G3" s="3"/>
      <c r="H3" s="3"/>
      <c r="I3" s="3"/>
      <c r="J3" s="3"/>
      <c r="K3" s="3"/>
      <c r="L3" s="3"/>
      <c r="M3" s="3"/>
      <c r="N3" s="3"/>
      <c r="O3" s="3"/>
      <c r="P3" s="3"/>
      <c r="Q3" s="3"/>
      <c r="R3" s="3"/>
      <c r="S3" s="3"/>
      <c r="T3" s="3"/>
      <c r="U3" s="3"/>
      <c r="V3" s="3"/>
    </row>
    <row r="4" spans="1:22" x14ac:dyDescent="0.35">
      <c r="A4" s="3"/>
      <c r="B4" s="3"/>
      <c r="C4" s="3"/>
      <c r="D4" s="3"/>
      <c r="E4" s="3"/>
      <c r="F4" s="3"/>
      <c r="G4" s="3"/>
      <c r="H4" s="3"/>
      <c r="I4" s="3"/>
      <c r="J4" s="3"/>
      <c r="K4" s="3"/>
      <c r="L4" s="3"/>
      <c r="M4" s="3"/>
      <c r="N4" s="3"/>
      <c r="O4" s="3"/>
      <c r="P4" s="3"/>
      <c r="Q4" s="3"/>
      <c r="R4" s="3"/>
      <c r="S4" s="3"/>
      <c r="T4" s="3"/>
      <c r="U4" s="3"/>
      <c r="V4" s="3"/>
    </row>
    <row r="5" spans="1:22" x14ac:dyDescent="0.35">
      <c r="A5" s="3"/>
      <c r="B5" s="3"/>
      <c r="C5" s="3"/>
      <c r="D5" s="3"/>
      <c r="E5" s="3"/>
      <c r="F5" s="3"/>
      <c r="G5" s="3"/>
      <c r="H5" s="3"/>
      <c r="I5" s="3"/>
      <c r="J5" s="3"/>
      <c r="K5" s="3"/>
      <c r="L5" s="3"/>
      <c r="M5" s="3"/>
      <c r="N5" s="3"/>
      <c r="O5" s="3"/>
      <c r="P5" s="3"/>
      <c r="Q5" s="3"/>
      <c r="R5" s="3"/>
      <c r="S5" s="3"/>
      <c r="T5" s="3"/>
      <c r="U5" s="3"/>
      <c r="V5" s="3"/>
    </row>
    <row r="6" spans="1:22" x14ac:dyDescent="0.35">
      <c r="A6" s="3"/>
      <c r="B6" s="3"/>
      <c r="C6" s="3"/>
      <c r="D6" s="3"/>
      <c r="E6" s="3"/>
      <c r="F6" s="3"/>
      <c r="G6" s="3"/>
      <c r="H6" s="3"/>
      <c r="I6" s="3"/>
      <c r="J6" s="3"/>
      <c r="K6" s="3"/>
      <c r="L6" s="3"/>
      <c r="M6" s="3"/>
      <c r="N6" s="3"/>
      <c r="O6" s="3"/>
      <c r="P6" s="3"/>
      <c r="Q6" s="3"/>
      <c r="R6" s="3"/>
      <c r="S6" s="3"/>
      <c r="T6" s="3"/>
      <c r="U6" s="3"/>
      <c r="V6" s="3"/>
    </row>
    <row r="7" spans="1:22" x14ac:dyDescent="0.35">
      <c r="A7" s="3"/>
      <c r="B7" s="2"/>
      <c r="C7" s="2"/>
      <c r="D7" s="2"/>
      <c r="E7" s="2"/>
      <c r="F7" s="2"/>
      <c r="G7" s="2"/>
      <c r="H7" s="2"/>
      <c r="I7" s="2"/>
      <c r="J7" s="2"/>
      <c r="K7" s="2"/>
      <c r="L7" s="2"/>
      <c r="M7" s="2"/>
      <c r="N7" s="2"/>
      <c r="O7" s="2"/>
      <c r="P7" s="2"/>
      <c r="Q7" s="2"/>
      <c r="R7" s="2"/>
      <c r="S7" s="2"/>
      <c r="T7" s="2"/>
      <c r="U7" s="2"/>
      <c r="V7" s="2"/>
    </row>
    <row r="8" spans="1:22" x14ac:dyDescent="0.35">
      <c r="A8" s="3"/>
      <c r="B8" s="2"/>
      <c r="C8" s="2"/>
      <c r="D8" s="2"/>
      <c r="E8" s="2"/>
      <c r="F8" s="2"/>
      <c r="G8" s="2"/>
      <c r="H8" s="2"/>
      <c r="I8" s="2"/>
      <c r="J8" s="2"/>
      <c r="K8" s="2"/>
      <c r="L8" s="2"/>
      <c r="M8" s="2"/>
      <c r="N8" s="2"/>
      <c r="O8" s="2"/>
      <c r="P8" s="2"/>
      <c r="Q8" s="2"/>
      <c r="R8" s="2"/>
      <c r="S8" s="2"/>
      <c r="T8" s="2"/>
      <c r="U8" s="2"/>
      <c r="V8" s="2"/>
    </row>
    <row r="9" spans="1:22" x14ac:dyDescent="0.35">
      <c r="A9" s="3"/>
      <c r="B9" s="2"/>
      <c r="C9" s="2"/>
      <c r="D9" s="2"/>
      <c r="E9" s="2"/>
      <c r="F9" s="2"/>
      <c r="G9" s="2"/>
      <c r="H9" s="2"/>
      <c r="I9" s="2"/>
      <c r="J9" s="2"/>
      <c r="K9" s="2"/>
      <c r="L9" s="2"/>
      <c r="M9" s="2"/>
      <c r="N9" s="2"/>
      <c r="O9" s="2"/>
      <c r="P9" s="2"/>
      <c r="Q9" s="2"/>
      <c r="R9" s="2"/>
      <c r="S9" s="2"/>
      <c r="T9" s="2"/>
      <c r="U9" s="2"/>
      <c r="V9" s="2"/>
    </row>
    <row r="10" spans="1:22" x14ac:dyDescent="0.35">
      <c r="A10" s="3"/>
      <c r="B10" s="2"/>
      <c r="C10" s="2"/>
      <c r="D10" s="2"/>
      <c r="E10" s="2"/>
      <c r="F10" s="2"/>
      <c r="G10" s="2"/>
      <c r="H10" s="2"/>
      <c r="I10" s="2"/>
      <c r="J10" s="2"/>
      <c r="K10" s="2"/>
      <c r="L10" s="2"/>
      <c r="M10" s="2"/>
      <c r="N10" s="2"/>
      <c r="O10" s="2"/>
      <c r="P10" s="2"/>
      <c r="Q10" s="2"/>
      <c r="R10" s="2"/>
      <c r="S10" s="2"/>
      <c r="T10" s="2"/>
      <c r="U10" s="2"/>
      <c r="V10" s="2"/>
    </row>
    <row r="11" spans="1:22" x14ac:dyDescent="0.35">
      <c r="A11" s="3"/>
      <c r="B11" s="2"/>
      <c r="C11" s="2"/>
      <c r="D11" s="2"/>
      <c r="E11" s="2"/>
      <c r="F11" s="2"/>
      <c r="G11" s="2"/>
      <c r="H11" s="2"/>
      <c r="I11" s="2"/>
      <c r="J11" s="2"/>
      <c r="K11" s="2"/>
      <c r="L11" s="2"/>
      <c r="M11" s="2"/>
      <c r="N11" s="2"/>
      <c r="O11" s="2"/>
      <c r="P11" s="2"/>
      <c r="Q11" s="2"/>
      <c r="R11" s="2"/>
      <c r="S11" s="2"/>
      <c r="T11" s="2"/>
      <c r="U11" s="2"/>
      <c r="V11" s="2"/>
    </row>
    <row r="12" spans="1:22" x14ac:dyDescent="0.35">
      <c r="A12" s="3"/>
      <c r="B12" s="2"/>
      <c r="C12" s="2"/>
      <c r="D12" s="2"/>
      <c r="E12" s="2"/>
      <c r="F12" s="2"/>
      <c r="G12" s="2"/>
      <c r="H12" s="2"/>
      <c r="I12" s="2"/>
      <c r="J12" s="2"/>
      <c r="K12" s="2"/>
      <c r="L12" s="2"/>
      <c r="M12" s="2"/>
      <c r="N12" s="2"/>
      <c r="O12" s="2"/>
      <c r="P12" s="2"/>
      <c r="Q12" s="2"/>
      <c r="R12" s="2"/>
      <c r="S12" s="2"/>
      <c r="T12" s="2"/>
      <c r="U12" s="2"/>
      <c r="V12" s="2"/>
    </row>
    <row r="13" spans="1:22" x14ac:dyDescent="0.35">
      <c r="A13" s="3"/>
      <c r="B13" s="2"/>
      <c r="C13" s="2"/>
      <c r="D13" s="2"/>
      <c r="E13" s="2"/>
      <c r="F13" s="2"/>
      <c r="G13" s="2"/>
      <c r="H13" s="2"/>
      <c r="I13" s="2"/>
      <c r="J13" s="2"/>
      <c r="K13" s="2"/>
      <c r="L13" s="2"/>
      <c r="M13" s="2"/>
      <c r="N13" s="2"/>
      <c r="O13" s="2"/>
      <c r="P13" s="2"/>
      <c r="Q13" s="2"/>
      <c r="R13" s="2"/>
      <c r="S13" s="2"/>
      <c r="T13" s="2"/>
      <c r="U13" s="2"/>
      <c r="V13" s="2"/>
    </row>
    <row r="14" spans="1:22" x14ac:dyDescent="0.35">
      <c r="A14" s="3"/>
      <c r="B14" s="2"/>
      <c r="C14" s="2"/>
      <c r="D14" s="2"/>
      <c r="E14" s="2"/>
      <c r="F14" s="2"/>
      <c r="G14" s="2"/>
      <c r="H14" s="2"/>
      <c r="I14" s="2"/>
      <c r="J14" s="2"/>
      <c r="K14" s="2"/>
      <c r="L14" s="2"/>
      <c r="M14" s="2"/>
      <c r="N14" s="2"/>
      <c r="O14" s="2"/>
      <c r="P14" s="2"/>
      <c r="Q14" s="2"/>
      <c r="R14" s="2"/>
      <c r="S14" s="2"/>
      <c r="T14" s="2"/>
      <c r="U14" s="2"/>
      <c r="V14" s="2"/>
    </row>
    <row r="15" spans="1:22" x14ac:dyDescent="0.35">
      <c r="A15" s="3"/>
      <c r="B15" s="2"/>
      <c r="C15" s="2"/>
      <c r="D15" s="2"/>
      <c r="E15" s="2"/>
      <c r="F15" s="2"/>
      <c r="G15" s="2"/>
      <c r="H15" s="2"/>
      <c r="I15" s="2"/>
      <c r="J15" s="2"/>
      <c r="K15" s="2"/>
      <c r="L15" s="2"/>
      <c r="M15" s="2"/>
      <c r="N15" s="2"/>
      <c r="O15" s="2"/>
      <c r="P15" s="2"/>
      <c r="Q15" s="2"/>
      <c r="R15" s="2"/>
      <c r="S15" s="2"/>
      <c r="T15" s="2"/>
      <c r="U15" s="2"/>
      <c r="V15" s="2"/>
    </row>
    <row r="16" spans="1:22" x14ac:dyDescent="0.35">
      <c r="A16" s="3"/>
      <c r="B16" s="2"/>
      <c r="C16" s="2"/>
      <c r="D16" s="2"/>
      <c r="E16" s="2"/>
      <c r="F16" s="2"/>
      <c r="G16" s="2"/>
      <c r="H16" s="2"/>
      <c r="I16" s="2"/>
      <c r="J16" s="2"/>
      <c r="K16" s="2"/>
      <c r="L16" s="2"/>
      <c r="M16" s="2"/>
      <c r="N16" s="2"/>
      <c r="O16" s="2"/>
      <c r="P16" s="2"/>
      <c r="Q16" s="2"/>
      <c r="R16" s="2"/>
      <c r="S16" s="2"/>
      <c r="T16" s="2"/>
      <c r="U16" s="2"/>
      <c r="V16" s="2"/>
    </row>
    <row r="17" spans="1:22" x14ac:dyDescent="0.35">
      <c r="A17" s="3"/>
      <c r="B17" s="2"/>
      <c r="C17" s="2"/>
      <c r="D17" s="2"/>
      <c r="E17" s="2"/>
      <c r="F17" s="2"/>
      <c r="G17" s="2"/>
      <c r="H17" s="2"/>
      <c r="I17" s="2"/>
      <c r="J17" s="2"/>
      <c r="K17" s="2"/>
      <c r="L17" s="2"/>
      <c r="M17" s="2"/>
      <c r="N17" s="2"/>
      <c r="O17" s="2"/>
      <c r="P17" s="2"/>
      <c r="Q17" s="2"/>
      <c r="R17" s="2"/>
      <c r="S17" s="2"/>
      <c r="T17" s="2"/>
      <c r="U17" s="2"/>
      <c r="V17" s="2"/>
    </row>
    <row r="18" spans="1:22" x14ac:dyDescent="0.35">
      <c r="A18" s="3"/>
      <c r="B18" s="2"/>
      <c r="C18" s="2"/>
      <c r="D18" s="2"/>
      <c r="E18" s="2"/>
      <c r="F18" s="2"/>
      <c r="G18" s="2"/>
      <c r="H18" s="2"/>
      <c r="I18" s="2"/>
      <c r="J18" s="2"/>
      <c r="K18" s="2"/>
      <c r="L18" s="2"/>
      <c r="M18" s="2"/>
      <c r="N18" s="2"/>
      <c r="O18" s="2"/>
      <c r="P18" s="2"/>
      <c r="Q18" s="2"/>
      <c r="R18" s="2"/>
      <c r="S18" s="2"/>
      <c r="T18" s="2"/>
      <c r="U18" s="2"/>
      <c r="V18" s="2"/>
    </row>
    <row r="19" spans="1:22" x14ac:dyDescent="0.35">
      <c r="A19" s="3"/>
      <c r="B19" s="2"/>
      <c r="C19" s="2"/>
      <c r="D19" s="2"/>
      <c r="E19" s="2"/>
      <c r="F19" s="2"/>
      <c r="G19" s="2"/>
      <c r="H19" s="2"/>
      <c r="I19" s="2"/>
      <c r="J19" s="2"/>
      <c r="K19" s="2"/>
      <c r="L19" s="2"/>
      <c r="M19" s="2"/>
      <c r="N19" s="2"/>
      <c r="O19" s="2"/>
      <c r="P19" s="2"/>
      <c r="Q19" s="2"/>
      <c r="R19" s="2"/>
      <c r="S19" s="2"/>
      <c r="T19" s="2"/>
      <c r="U19" s="2"/>
      <c r="V19" s="2"/>
    </row>
    <row r="20" spans="1:22" x14ac:dyDescent="0.35">
      <c r="A20" s="3"/>
      <c r="B20" s="2"/>
      <c r="C20" s="2"/>
      <c r="D20" s="2"/>
      <c r="E20" s="2"/>
      <c r="F20" s="2"/>
      <c r="G20" s="2"/>
      <c r="H20" s="2"/>
      <c r="I20" s="2"/>
      <c r="J20" s="2"/>
      <c r="K20" s="2"/>
      <c r="L20" s="2"/>
      <c r="M20" s="2"/>
      <c r="N20" s="2"/>
      <c r="O20" s="2"/>
      <c r="P20" s="2"/>
      <c r="Q20" s="2"/>
      <c r="R20" s="2"/>
      <c r="S20" s="2"/>
      <c r="T20" s="2"/>
      <c r="U20" s="2"/>
      <c r="V20" s="2"/>
    </row>
    <row r="21" spans="1:22" x14ac:dyDescent="0.35">
      <c r="A21" s="3"/>
      <c r="B21" s="2"/>
      <c r="C21" s="2"/>
      <c r="D21" s="2"/>
      <c r="E21" s="2"/>
      <c r="F21" s="2"/>
      <c r="G21" s="2"/>
      <c r="H21" s="2"/>
      <c r="I21" s="2"/>
      <c r="J21" s="2"/>
      <c r="K21" s="2"/>
      <c r="L21" s="2"/>
      <c r="M21" s="2"/>
      <c r="N21" s="2"/>
      <c r="O21" s="2"/>
      <c r="P21" s="2"/>
      <c r="Q21" s="2"/>
      <c r="R21" s="2"/>
      <c r="S21" s="2"/>
      <c r="T21" s="2"/>
      <c r="U21" s="2"/>
      <c r="V21" s="2"/>
    </row>
    <row r="22" spans="1:22" x14ac:dyDescent="0.35">
      <c r="A22" s="3"/>
      <c r="B22" s="2"/>
      <c r="C22" s="2"/>
      <c r="D22" s="2"/>
      <c r="E22" s="2"/>
      <c r="F22" s="2"/>
      <c r="G22" s="2"/>
      <c r="H22" s="2"/>
      <c r="I22" s="2"/>
      <c r="J22" s="2"/>
      <c r="K22" s="2"/>
      <c r="L22" s="2"/>
      <c r="M22" s="2"/>
      <c r="N22" s="2"/>
      <c r="O22" s="2"/>
      <c r="P22" s="2"/>
      <c r="Q22" s="2"/>
      <c r="R22" s="2"/>
      <c r="S22" s="2"/>
      <c r="T22" s="2"/>
      <c r="U22" s="2"/>
      <c r="V22" s="2"/>
    </row>
    <row r="23" spans="1:22" x14ac:dyDescent="0.35">
      <c r="A23" s="3"/>
      <c r="B23" s="2"/>
      <c r="C23" s="2"/>
      <c r="D23" s="2"/>
      <c r="E23" s="2"/>
      <c r="F23" s="2"/>
      <c r="G23" s="2"/>
      <c r="H23" s="2"/>
      <c r="I23" s="2"/>
      <c r="J23" s="2"/>
      <c r="K23" s="2"/>
      <c r="L23" s="2"/>
      <c r="M23" s="2"/>
      <c r="N23" s="2"/>
      <c r="O23" s="2"/>
      <c r="P23" s="2"/>
      <c r="Q23" s="2"/>
      <c r="R23" s="2"/>
      <c r="S23" s="2"/>
      <c r="T23" s="2"/>
      <c r="U23" s="2"/>
      <c r="V23" s="2"/>
    </row>
    <row r="24" spans="1:22" x14ac:dyDescent="0.35">
      <c r="A24" s="3"/>
      <c r="B24" s="2"/>
      <c r="C24" s="2"/>
      <c r="D24" s="2"/>
      <c r="E24" s="2"/>
      <c r="F24" s="2"/>
      <c r="G24" s="2"/>
      <c r="H24" s="2"/>
      <c r="I24" s="2"/>
      <c r="J24" s="2"/>
      <c r="K24" s="2"/>
      <c r="L24" s="2"/>
      <c r="M24" s="2"/>
      <c r="N24" s="2"/>
      <c r="O24" s="2"/>
      <c r="P24" s="2"/>
      <c r="Q24" s="2"/>
      <c r="R24" s="2"/>
      <c r="S24" s="2"/>
      <c r="T24" s="2"/>
      <c r="U24" s="2"/>
      <c r="V24" s="2"/>
    </row>
    <row r="25" spans="1:22" x14ac:dyDescent="0.35">
      <c r="A25" s="3"/>
      <c r="B25" s="2"/>
      <c r="C25" s="2"/>
      <c r="D25" s="2"/>
      <c r="E25" s="2"/>
      <c r="F25" s="2"/>
      <c r="G25" s="2"/>
      <c r="H25" s="2"/>
      <c r="I25" s="2"/>
      <c r="J25" s="2"/>
      <c r="K25" s="2"/>
      <c r="L25" s="2"/>
      <c r="M25" s="2"/>
      <c r="N25" s="2"/>
      <c r="O25" s="2"/>
      <c r="P25" s="2"/>
      <c r="Q25" s="2"/>
      <c r="R25" s="2"/>
      <c r="S25" s="2"/>
      <c r="T25" s="2"/>
      <c r="U25" s="2"/>
      <c r="V25" s="2"/>
    </row>
    <row r="26" spans="1:22" x14ac:dyDescent="0.35">
      <c r="A26" s="3"/>
      <c r="B26" s="2"/>
      <c r="C26" s="2"/>
      <c r="D26" s="2"/>
      <c r="E26" s="2"/>
      <c r="F26" s="2"/>
      <c r="G26" s="2"/>
      <c r="H26" s="2"/>
      <c r="I26" s="2"/>
      <c r="J26" s="2"/>
      <c r="K26" s="2"/>
      <c r="L26" s="2"/>
      <c r="M26" s="2"/>
      <c r="N26" s="2"/>
      <c r="O26" s="2"/>
      <c r="P26" s="2"/>
      <c r="Q26" s="2"/>
      <c r="R26" s="2"/>
      <c r="S26" s="2"/>
      <c r="T26" s="2"/>
      <c r="U26" s="2"/>
      <c r="V26" s="2"/>
    </row>
    <row r="27" spans="1:22" x14ac:dyDescent="0.35">
      <c r="A27" s="3"/>
      <c r="B27" s="2"/>
      <c r="C27" s="2"/>
      <c r="D27" s="2"/>
      <c r="E27" s="2"/>
      <c r="F27" s="2"/>
      <c r="G27" s="2"/>
      <c r="H27" s="2"/>
      <c r="I27" s="2"/>
      <c r="J27" s="2"/>
      <c r="K27" s="2"/>
      <c r="L27" s="2"/>
      <c r="M27" s="2"/>
      <c r="N27" s="2"/>
      <c r="O27" s="2"/>
      <c r="P27" s="2"/>
      <c r="Q27" s="2"/>
      <c r="R27" s="2"/>
      <c r="S27" s="2"/>
      <c r="T27" s="2"/>
      <c r="U27" s="2"/>
      <c r="V27" s="2"/>
    </row>
    <row r="28" spans="1:22" x14ac:dyDescent="0.35">
      <c r="A28" s="3"/>
      <c r="B28" s="2"/>
      <c r="C28" s="2"/>
      <c r="D28" s="2"/>
      <c r="E28" s="2"/>
      <c r="F28" s="2"/>
      <c r="G28" s="2"/>
      <c r="H28" s="2"/>
      <c r="I28" s="2"/>
      <c r="J28" s="2"/>
      <c r="K28" s="2"/>
      <c r="L28" s="2"/>
      <c r="M28" s="2"/>
      <c r="N28" s="2"/>
      <c r="O28" s="2"/>
      <c r="P28" s="2"/>
      <c r="Q28" s="2"/>
      <c r="R28" s="2"/>
      <c r="S28" s="2"/>
      <c r="T28" s="2"/>
      <c r="U28" s="2"/>
      <c r="V28" s="2"/>
    </row>
    <row r="29" spans="1:22" x14ac:dyDescent="0.35">
      <c r="A29" s="3"/>
      <c r="B29" s="2"/>
      <c r="C29" s="2"/>
      <c r="D29" s="2"/>
      <c r="E29" s="2"/>
      <c r="F29" s="2"/>
      <c r="G29" s="2"/>
      <c r="H29" s="2"/>
      <c r="I29" s="2"/>
      <c r="J29" s="2"/>
      <c r="K29" s="2"/>
      <c r="L29" s="2"/>
      <c r="M29" s="2"/>
      <c r="N29" s="2"/>
      <c r="O29" s="2"/>
      <c r="P29" s="2"/>
      <c r="Q29" s="2"/>
      <c r="R29" s="2"/>
      <c r="S29" s="2"/>
      <c r="T29" s="2"/>
      <c r="U29" s="2"/>
      <c r="V29" s="2"/>
    </row>
    <row r="30" spans="1:22" x14ac:dyDescent="0.35">
      <c r="A30" s="3"/>
      <c r="B30" s="2"/>
      <c r="C30" s="2"/>
      <c r="D30" s="2"/>
      <c r="E30" s="2"/>
      <c r="F30" s="2"/>
      <c r="G30" s="2"/>
      <c r="H30" s="2"/>
      <c r="I30" s="2"/>
      <c r="J30" s="2"/>
      <c r="K30" s="2"/>
      <c r="L30" s="2"/>
      <c r="M30" s="2"/>
      <c r="N30" s="2"/>
      <c r="O30" s="2"/>
      <c r="P30" s="2"/>
      <c r="Q30" s="2"/>
      <c r="R30" s="2"/>
      <c r="S30" s="2"/>
      <c r="T30" s="2"/>
      <c r="U30" s="2"/>
      <c r="V30" s="2"/>
    </row>
    <row r="31" spans="1:22" x14ac:dyDescent="0.35">
      <c r="A31" s="3"/>
      <c r="B31" s="2"/>
      <c r="C31" s="2"/>
      <c r="D31" s="2"/>
      <c r="E31" s="2"/>
      <c r="F31" s="2"/>
      <c r="G31" s="2"/>
      <c r="H31" s="2"/>
      <c r="I31" s="2"/>
      <c r="J31" s="2"/>
      <c r="K31" s="2"/>
      <c r="L31" s="2"/>
      <c r="M31" s="2"/>
      <c r="N31" s="2"/>
      <c r="O31" s="2"/>
      <c r="P31" s="2"/>
      <c r="Q31" s="2"/>
      <c r="R31" s="2"/>
      <c r="S31" s="2"/>
      <c r="T31" s="2"/>
      <c r="U31" s="2"/>
      <c r="V31" s="2"/>
    </row>
    <row r="32" spans="1:22" x14ac:dyDescent="0.35">
      <c r="A32" s="3"/>
      <c r="B32" s="2"/>
      <c r="C32" s="2"/>
      <c r="D32" s="2"/>
      <c r="E32" s="2"/>
      <c r="F32" s="2"/>
      <c r="G32" s="2"/>
      <c r="H32" s="2"/>
      <c r="I32" s="2"/>
      <c r="J32" s="2"/>
      <c r="K32" s="2"/>
      <c r="L32" s="2"/>
      <c r="M32" s="2"/>
      <c r="N32" s="2"/>
      <c r="O32" s="2"/>
      <c r="P32" s="2"/>
      <c r="Q32" s="2"/>
      <c r="R32" s="2"/>
      <c r="S32" s="2"/>
      <c r="T32" s="2"/>
      <c r="U32" s="2"/>
      <c r="V32" s="2"/>
    </row>
    <row r="33" spans="1:22" x14ac:dyDescent="0.35">
      <c r="A33" s="3"/>
      <c r="B33" s="2"/>
      <c r="C33" s="2"/>
      <c r="D33" s="2"/>
      <c r="E33" s="2"/>
      <c r="F33" s="2"/>
      <c r="G33" s="2"/>
      <c r="H33" s="2"/>
      <c r="I33" s="2"/>
      <c r="J33" s="2"/>
      <c r="K33" s="2"/>
      <c r="L33" s="2"/>
      <c r="M33" s="2"/>
      <c r="N33" s="2"/>
      <c r="O33" s="2"/>
      <c r="P33" s="2"/>
      <c r="Q33" s="2"/>
      <c r="R33" s="2"/>
      <c r="S33" s="2"/>
      <c r="T33" s="2"/>
      <c r="U33" s="2"/>
      <c r="V33" s="2"/>
    </row>
    <row r="34" spans="1:22" x14ac:dyDescent="0.35">
      <c r="A34" s="3"/>
      <c r="B34" s="2"/>
      <c r="C34" s="2"/>
      <c r="D34" s="2"/>
      <c r="E34" s="2"/>
      <c r="F34" s="2"/>
      <c r="G34" s="2"/>
      <c r="H34" s="2"/>
      <c r="I34" s="2"/>
      <c r="J34" s="2"/>
      <c r="K34" s="2"/>
      <c r="L34" s="2"/>
      <c r="M34" s="2"/>
      <c r="N34" s="2"/>
      <c r="O34" s="2"/>
      <c r="P34" s="2"/>
      <c r="Q34" s="2"/>
      <c r="R34" s="2"/>
      <c r="S34" s="2"/>
      <c r="T34" s="2"/>
      <c r="U34" s="2"/>
      <c r="V34" s="2"/>
    </row>
    <row r="35" spans="1:22" x14ac:dyDescent="0.35">
      <c r="A35" s="3"/>
      <c r="B35" s="2"/>
      <c r="C35" s="2"/>
      <c r="D35" s="2"/>
      <c r="E35" s="2"/>
      <c r="F35" s="2"/>
      <c r="G35" s="2"/>
      <c r="H35" s="2"/>
      <c r="I35" s="2"/>
      <c r="J35" s="2"/>
      <c r="K35" s="2"/>
      <c r="L35" s="2"/>
      <c r="M35" s="2"/>
      <c r="N35" s="2"/>
      <c r="O35" s="2"/>
      <c r="P35" s="2"/>
      <c r="Q35" s="2"/>
      <c r="R35" s="2"/>
      <c r="S35" s="2"/>
      <c r="T35" s="2"/>
      <c r="U35" s="2"/>
      <c r="V35" s="2"/>
    </row>
    <row r="36" spans="1:22" x14ac:dyDescent="0.35">
      <c r="A36" s="3"/>
      <c r="B36" s="2"/>
      <c r="C36" s="2"/>
      <c r="D36" s="2"/>
      <c r="E36" s="2"/>
      <c r="F36" s="2"/>
      <c r="G36" s="2"/>
      <c r="H36" s="2"/>
      <c r="I36" s="2"/>
      <c r="J36" s="2"/>
      <c r="K36" s="2"/>
      <c r="L36" s="2"/>
      <c r="M36" s="2"/>
      <c r="N36" s="2"/>
      <c r="O36" s="2"/>
      <c r="P36" s="2"/>
      <c r="Q36" s="2"/>
      <c r="R36" s="2"/>
      <c r="S36" s="2"/>
      <c r="T36" s="2"/>
      <c r="U36" s="2"/>
      <c r="V36" s="2"/>
    </row>
    <row r="37" spans="1:22" x14ac:dyDescent="0.35">
      <c r="A37" s="3"/>
      <c r="B37" s="2"/>
      <c r="C37" s="2"/>
      <c r="D37" s="2"/>
      <c r="E37" s="2"/>
      <c r="F37" s="2"/>
      <c r="G37" s="2"/>
      <c r="H37" s="2"/>
      <c r="I37" s="2"/>
      <c r="J37" s="2"/>
      <c r="K37" s="2"/>
      <c r="L37" s="2"/>
      <c r="M37" s="2"/>
      <c r="N37" s="2"/>
      <c r="O37" s="2"/>
      <c r="P37" s="2"/>
      <c r="Q37" s="2"/>
      <c r="R37" s="2"/>
      <c r="S37" s="2"/>
      <c r="T37" s="2"/>
      <c r="U37" s="2"/>
      <c r="V3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21EE-BE6D-452D-B952-E45968F3728D}">
  <dimension ref="A3:R54"/>
  <sheetViews>
    <sheetView topLeftCell="A3" workbookViewId="0">
      <selection activeCell="J22" sqref="J22"/>
    </sheetView>
  </sheetViews>
  <sheetFormatPr defaultRowHeight="17.600000000000001" x14ac:dyDescent="0.4"/>
  <cols>
    <col min="1" max="1" width="10.69140625" style="8" bestFit="1" customWidth="1"/>
    <col min="2" max="3" width="10.61328125" style="8" bestFit="1" customWidth="1"/>
    <col min="4" max="4" width="12.3046875" style="8" bestFit="1" customWidth="1"/>
    <col min="5" max="5" width="7.765625" style="8" customWidth="1"/>
    <col min="6" max="6" width="12.3046875" style="8" bestFit="1" customWidth="1"/>
    <col min="7" max="7" width="10.61328125" style="8" bestFit="1" customWidth="1"/>
    <col min="8" max="8" width="12.3046875" style="8" bestFit="1" customWidth="1"/>
    <col min="9" max="10" width="9.23046875" style="8"/>
    <col min="11" max="11" width="10.69140625" style="8" bestFit="1" customWidth="1"/>
    <col min="12" max="12" width="12.3046875" style="8" bestFit="1" customWidth="1"/>
    <col min="13" max="13" width="10.61328125" style="8" bestFit="1" customWidth="1"/>
    <col min="14" max="15" width="9.23046875" style="8"/>
    <col min="16" max="16" width="19.3046875" style="8" customWidth="1"/>
    <col min="17" max="17" width="11.921875" style="8" bestFit="1" customWidth="1"/>
    <col min="18" max="18" width="12.07421875" style="8" bestFit="1" customWidth="1"/>
    <col min="19" max="16384" width="9.23046875" style="8"/>
  </cols>
  <sheetData>
    <row r="3" spans="1:18" x14ac:dyDescent="0.4">
      <c r="A3" s="7" t="s">
        <v>77</v>
      </c>
      <c r="B3" s="7" t="s">
        <v>78</v>
      </c>
      <c r="C3" s="7" t="s">
        <v>79</v>
      </c>
      <c r="D3" s="7" t="s">
        <v>76</v>
      </c>
    </row>
    <row r="4" spans="1:18" x14ac:dyDescent="0.4">
      <c r="A4" s="9">
        <v>593</v>
      </c>
      <c r="B4" s="24">
        <v>981140.21</v>
      </c>
      <c r="C4" s="24">
        <v>448020.64</v>
      </c>
      <c r="D4" s="10">
        <v>0.45663263561484246</v>
      </c>
    </row>
    <row r="7" spans="1:18" x14ac:dyDescent="0.4">
      <c r="A7" s="16" t="s">
        <v>85</v>
      </c>
      <c r="B7" s="16"/>
      <c r="C7" s="16"/>
      <c r="F7" s="16" t="s">
        <v>82</v>
      </c>
      <c r="G7" s="16"/>
      <c r="H7" s="16"/>
      <c r="K7" s="16" t="s">
        <v>83</v>
      </c>
      <c r="L7" s="16"/>
      <c r="M7" s="16"/>
      <c r="P7" s="16" t="s">
        <v>84</v>
      </c>
      <c r="Q7" s="16"/>
      <c r="R7" s="16"/>
    </row>
    <row r="8" spans="1:18" x14ac:dyDescent="0.4">
      <c r="A8" s="11" t="s">
        <v>0</v>
      </c>
      <c r="B8" s="15" t="s">
        <v>78</v>
      </c>
      <c r="C8" s="15" t="s">
        <v>79</v>
      </c>
      <c r="F8" s="11" t="s">
        <v>2</v>
      </c>
      <c r="G8" s="15" t="s">
        <v>78</v>
      </c>
      <c r="H8" s="15" t="s">
        <v>76</v>
      </c>
      <c r="K8" s="11" t="s">
        <v>1</v>
      </c>
      <c r="L8" s="15" t="s">
        <v>78</v>
      </c>
      <c r="M8" s="15" t="s">
        <v>79</v>
      </c>
      <c r="P8" s="11" t="s">
        <v>86</v>
      </c>
      <c r="Q8" s="8" t="s">
        <v>81</v>
      </c>
      <c r="R8"/>
    </row>
    <row r="9" spans="1:18" x14ac:dyDescent="0.4">
      <c r="A9" s="12" t="s">
        <v>37</v>
      </c>
      <c r="B9" s="17">
        <v>113697.64</v>
      </c>
      <c r="C9" s="17">
        <v>46639.99</v>
      </c>
      <c r="F9" s="12" t="s">
        <v>61</v>
      </c>
      <c r="G9" s="13">
        <v>188231.41</v>
      </c>
      <c r="H9" s="14">
        <v>0.47562423295878192</v>
      </c>
      <c r="K9" s="12" t="s">
        <v>39</v>
      </c>
      <c r="L9" s="13">
        <v>148639.22</v>
      </c>
      <c r="M9" s="13">
        <v>68976.39</v>
      </c>
      <c r="P9" s="12" t="s">
        <v>61</v>
      </c>
      <c r="Q9" s="17">
        <v>188231.41</v>
      </c>
      <c r="R9"/>
    </row>
    <row r="10" spans="1:18" x14ac:dyDescent="0.4">
      <c r="A10" s="12" t="s">
        <v>26</v>
      </c>
      <c r="B10" s="17">
        <v>97653.54</v>
      </c>
      <c r="C10" s="17">
        <v>40084.160000000003</v>
      </c>
      <c r="F10" s="12" t="s">
        <v>60</v>
      </c>
      <c r="G10" s="13">
        <v>195290.75</v>
      </c>
      <c r="H10" s="14">
        <v>0.44315196700304543</v>
      </c>
      <c r="K10" s="12" t="s">
        <v>30</v>
      </c>
      <c r="L10" s="13">
        <v>170973.18</v>
      </c>
      <c r="M10" s="13">
        <v>67730.429999999993</v>
      </c>
      <c r="P10" s="12" t="s">
        <v>60</v>
      </c>
      <c r="Q10" s="17">
        <v>195290.75</v>
      </c>
      <c r="R10"/>
    </row>
    <row r="11" spans="1:18" x14ac:dyDescent="0.4">
      <c r="A11" s="12" t="s">
        <v>29</v>
      </c>
      <c r="B11" s="17">
        <v>69469.649999999994</v>
      </c>
      <c r="C11" s="17">
        <v>28621.84</v>
      </c>
      <c r="F11" s="12" t="s">
        <v>63</v>
      </c>
      <c r="G11" s="13">
        <v>170206.58</v>
      </c>
      <c r="H11" s="14">
        <v>0.42860270149367907</v>
      </c>
      <c r="K11" s="12" t="s">
        <v>32</v>
      </c>
      <c r="L11" s="13">
        <v>146463.47</v>
      </c>
      <c r="M11" s="13">
        <v>75659.25</v>
      </c>
      <c r="P11" s="12" t="s">
        <v>62</v>
      </c>
      <c r="Q11" s="17">
        <v>237437.73</v>
      </c>
      <c r="R11"/>
    </row>
    <row r="12" spans="1:18" x14ac:dyDescent="0.4">
      <c r="A12" s="12" t="s">
        <v>40</v>
      </c>
      <c r="B12" s="17">
        <v>117785.47</v>
      </c>
      <c r="C12" s="17">
        <v>57158.5</v>
      </c>
      <c r="F12" s="12" t="s">
        <v>64</v>
      </c>
      <c r="G12" s="13">
        <v>189973.74</v>
      </c>
      <c r="H12" s="14">
        <v>0.48527812317639274</v>
      </c>
      <c r="K12" s="12" t="s">
        <v>9</v>
      </c>
      <c r="L12" s="13">
        <v>146424.48000000001</v>
      </c>
      <c r="M12" s="13">
        <v>51504.74</v>
      </c>
      <c r="P12" s="12" t="s">
        <v>63</v>
      </c>
      <c r="Q12" s="17">
        <v>170206.58</v>
      </c>
      <c r="R12"/>
    </row>
    <row r="13" spans="1:18" x14ac:dyDescent="0.4">
      <c r="A13" s="12" t="s">
        <v>8</v>
      </c>
      <c r="B13" s="17">
        <v>51206.01</v>
      </c>
      <c r="C13" s="17">
        <v>24074.78</v>
      </c>
      <c r="F13" s="12" t="s">
        <v>62</v>
      </c>
      <c r="G13" s="13">
        <v>237437.73</v>
      </c>
      <c r="H13" s="14">
        <v>0.44983853240173749</v>
      </c>
      <c r="K13" s="12" t="s">
        <v>19</v>
      </c>
      <c r="L13" s="13">
        <v>123672.96000000001</v>
      </c>
      <c r="M13" s="13">
        <v>54599.55</v>
      </c>
      <c r="P13" s="12" t="s">
        <v>64</v>
      </c>
      <c r="Q13" s="17">
        <v>189973.74</v>
      </c>
      <c r="R13"/>
    </row>
    <row r="14" spans="1:18" x14ac:dyDescent="0.4">
      <c r="A14" s="12" t="s">
        <v>18</v>
      </c>
      <c r="B14" s="17">
        <v>111064.26</v>
      </c>
      <c r="C14" s="17">
        <v>44431.75</v>
      </c>
      <c r="F14" s="12" t="s">
        <v>80</v>
      </c>
      <c r="G14" s="13">
        <v>981140.21</v>
      </c>
      <c r="H14" s="14">
        <v>0.45663263561484246</v>
      </c>
      <c r="K14" s="12" t="s">
        <v>14</v>
      </c>
      <c r="L14" s="13">
        <v>106484.04</v>
      </c>
      <c r="M14" s="13">
        <v>51216.38</v>
      </c>
      <c r="P14" s="12" t="s">
        <v>80</v>
      </c>
      <c r="Q14" s="17">
        <v>981140.21</v>
      </c>
      <c r="R14"/>
    </row>
    <row r="15" spans="1:18" x14ac:dyDescent="0.4">
      <c r="A15" s="12" t="s">
        <v>38</v>
      </c>
      <c r="B15" s="17">
        <v>94539.45</v>
      </c>
      <c r="C15" s="17">
        <v>45810.01</v>
      </c>
      <c r="K15" s="12" t="s">
        <v>49</v>
      </c>
      <c r="L15" s="17">
        <v>138482.85999999999</v>
      </c>
      <c r="M15" s="13">
        <v>78333.899999999994</v>
      </c>
      <c r="P15"/>
      <c r="Q15"/>
      <c r="R15"/>
    </row>
    <row r="16" spans="1:18" x14ac:dyDescent="0.4">
      <c r="A16" s="12" t="s">
        <v>41</v>
      </c>
      <c r="B16" s="17">
        <v>62616.81</v>
      </c>
      <c r="C16" s="17">
        <v>33871.339999999997</v>
      </c>
      <c r="K16" s="12" t="s">
        <v>80</v>
      </c>
      <c r="L16" s="13">
        <v>981140.21</v>
      </c>
      <c r="M16" s="13">
        <v>448020.64</v>
      </c>
      <c r="P16"/>
      <c r="Q16"/>
      <c r="R16"/>
    </row>
    <row r="17" spans="1:18" x14ac:dyDescent="0.4">
      <c r="A17" s="12" t="s">
        <v>55</v>
      </c>
      <c r="B17" s="17">
        <v>65562.06</v>
      </c>
      <c r="C17" s="17">
        <v>32213.51</v>
      </c>
      <c r="F17" s="16" t="s">
        <v>87</v>
      </c>
      <c r="G17" s="16"/>
      <c r="H17" s="16"/>
      <c r="K17"/>
      <c r="L17"/>
      <c r="M17"/>
      <c r="P17"/>
      <c r="Q17"/>
      <c r="R17"/>
    </row>
    <row r="18" spans="1:18" x14ac:dyDescent="0.4">
      <c r="A18" s="12" t="s">
        <v>52</v>
      </c>
      <c r="B18" s="17">
        <v>87670.03</v>
      </c>
      <c r="C18" s="17">
        <v>38316.69</v>
      </c>
      <c r="F18" s="11" t="s">
        <v>4</v>
      </c>
      <c r="G18" s="15" t="s">
        <v>78</v>
      </c>
      <c r="H18" s="15" t="s">
        <v>76</v>
      </c>
      <c r="P18"/>
      <c r="Q18"/>
      <c r="R18"/>
    </row>
    <row r="19" spans="1:18" x14ac:dyDescent="0.4">
      <c r="A19" s="12" t="s">
        <v>13</v>
      </c>
      <c r="B19" s="17">
        <v>63912.19</v>
      </c>
      <c r="C19" s="17">
        <v>35866.94</v>
      </c>
      <c r="F19" s="12" t="s">
        <v>12</v>
      </c>
      <c r="G19" s="13">
        <v>302292.71000000002</v>
      </c>
      <c r="H19" s="14">
        <v>0.46705148794358953</v>
      </c>
      <c r="P19"/>
      <c r="Q19"/>
      <c r="R19"/>
    </row>
    <row r="20" spans="1:18" x14ac:dyDescent="0.4">
      <c r="A20" s="12" t="s">
        <v>23</v>
      </c>
      <c r="B20" s="17">
        <v>45963.1</v>
      </c>
      <c r="C20" s="17">
        <v>20931.13</v>
      </c>
      <c r="F20" s="12" t="s">
        <v>28</v>
      </c>
      <c r="G20" s="13">
        <v>124960.35</v>
      </c>
      <c r="H20" s="14">
        <v>0.50000372118035841</v>
      </c>
      <c r="P20"/>
      <c r="Q20"/>
      <c r="R20"/>
    </row>
    <row r="21" spans="1:18" x14ac:dyDescent="0.4">
      <c r="A21" s="12" t="s">
        <v>80</v>
      </c>
      <c r="B21" s="13">
        <v>981140.21</v>
      </c>
      <c r="C21" s="13">
        <v>448020.64</v>
      </c>
      <c r="F21" s="12" t="s">
        <v>34</v>
      </c>
      <c r="G21" s="13">
        <v>123245.15</v>
      </c>
      <c r="H21" s="14">
        <v>0.3935134161465989</v>
      </c>
      <c r="P21"/>
      <c r="Q21"/>
      <c r="R21"/>
    </row>
    <row r="22" spans="1:18" x14ac:dyDescent="0.4">
      <c r="F22" s="12" t="s">
        <v>22</v>
      </c>
      <c r="G22" s="13">
        <v>172765.65</v>
      </c>
      <c r="H22" s="14">
        <v>0.47013917407771738</v>
      </c>
      <c r="K22" s="25" t="s">
        <v>88</v>
      </c>
      <c r="L22" s="25"/>
      <c r="M22" s="25"/>
      <c r="P22"/>
      <c r="Q22"/>
      <c r="R22"/>
    </row>
    <row r="23" spans="1:18" x14ac:dyDescent="0.4">
      <c r="F23" s="12" t="s">
        <v>48</v>
      </c>
      <c r="G23" s="13">
        <v>129640.7</v>
      </c>
      <c r="H23" s="14">
        <v>0.42240924339347136</v>
      </c>
      <c r="K23" s="11" t="s">
        <v>2</v>
      </c>
      <c r="L23" s="8" t="s">
        <v>76</v>
      </c>
      <c r="M23" s="18" t="s">
        <v>89</v>
      </c>
      <c r="P23"/>
      <c r="Q23"/>
      <c r="R23"/>
    </row>
    <row r="24" spans="1:18" x14ac:dyDescent="0.4">
      <c r="F24" s="12" t="s">
        <v>17</v>
      </c>
      <c r="G24" s="13">
        <v>128235.65</v>
      </c>
      <c r="H24" s="14">
        <v>0.46687321349406352</v>
      </c>
      <c r="K24" s="12" t="s">
        <v>61</v>
      </c>
      <c r="L24" s="27">
        <v>0.47562423295878192</v>
      </c>
      <c r="M24" s="28">
        <f>1-L24</f>
        <v>0.52437576704121813</v>
      </c>
      <c r="P24"/>
      <c r="Q24"/>
      <c r="R24"/>
    </row>
    <row r="25" spans="1:18" x14ac:dyDescent="0.4">
      <c r="F25" s="12" t="s">
        <v>80</v>
      </c>
      <c r="G25" s="13">
        <v>981140.21</v>
      </c>
      <c r="H25" s="14">
        <v>0.45663263561484246</v>
      </c>
      <c r="K25"/>
      <c r="L25" s="29"/>
      <c r="M25" s="29"/>
      <c r="P25"/>
      <c r="Q25"/>
      <c r="R25"/>
    </row>
    <row r="26" spans="1:18" x14ac:dyDescent="0.4">
      <c r="F26"/>
      <c r="G26"/>
      <c r="H26"/>
      <c r="K26" s="11" t="s">
        <v>2</v>
      </c>
      <c r="L26" s="27" t="s">
        <v>76</v>
      </c>
      <c r="M26" s="30" t="s">
        <v>89</v>
      </c>
      <c r="P26"/>
      <c r="Q26"/>
      <c r="R26"/>
    </row>
    <row r="27" spans="1:18" x14ac:dyDescent="0.4">
      <c r="F27"/>
      <c r="G27"/>
      <c r="H27"/>
      <c r="K27" s="12" t="s">
        <v>60</v>
      </c>
      <c r="L27" s="27">
        <v>0.44315196700304543</v>
      </c>
      <c r="M27" s="28">
        <f>1-L27</f>
        <v>0.55684803299695451</v>
      </c>
      <c r="P27"/>
      <c r="Q27"/>
      <c r="R27"/>
    </row>
    <row r="28" spans="1:18" x14ac:dyDescent="0.4">
      <c r="F28" s="18" t="s">
        <v>4</v>
      </c>
      <c r="G28" s="19" t="s">
        <v>78</v>
      </c>
      <c r="H28"/>
      <c r="K28"/>
      <c r="L28" s="29"/>
      <c r="M28" s="29"/>
      <c r="P28"/>
      <c r="Q28"/>
      <c r="R28"/>
    </row>
    <row r="29" spans="1:18" x14ac:dyDescent="0.4">
      <c r="F29" s="20" t="s">
        <v>12</v>
      </c>
      <c r="G29" s="21">
        <v>302292.71000000002</v>
      </c>
      <c r="H29"/>
      <c r="K29" s="11" t="s">
        <v>2</v>
      </c>
      <c r="L29" s="27" t="s">
        <v>76</v>
      </c>
      <c r="M29" s="30" t="s">
        <v>89</v>
      </c>
      <c r="P29"/>
      <c r="Q29"/>
      <c r="R29"/>
    </row>
    <row r="30" spans="1:18" x14ac:dyDescent="0.4">
      <c r="F30" s="20" t="s">
        <v>28</v>
      </c>
      <c r="G30" s="21">
        <v>124960.35</v>
      </c>
      <c r="H30"/>
      <c r="K30" s="12" t="s">
        <v>63</v>
      </c>
      <c r="L30" s="27">
        <v>0.42860270149367907</v>
      </c>
      <c r="M30" s="28">
        <f>1-L30</f>
        <v>0.57139729850632093</v>
      </c>
      <c r="P30"/>
      <c r="Q30"/>
      <c r="R30"/>
    </row>
    <row r="31" spans="1:18" x14ac:dyDescent="0.4">
      <c r="F31" s="20" t="s">
        <v>34</v>
      </c>
      <c r="G31" s="21">
        <v>123245.15</v>
      </c>
      <c r="H31"/>
      <c r="L31" s="27"/>
      <c r="M31" s="27"/>
      <c r="P31"/>
      <c r="Q31"/>
      <c r="R31"/>
    </row>
    <row r="32" spans="1:18" x14ac:dyDescent="0.4">
      <c r="F32" s="20" t="s">
        <v>22</v>
      </c>
      <c r="G32" s="21">
        <v>172765.65</v>
      </c>
      <c r="K32" s="11" t="s">
        <v>2</v>
      </c>
      <c r="L32" s="27" t="s">
        <v>76</v>
      </c>
      <c r="M32" s="30" t="s">
        <v>89</v>
      </c>
      <c r="P32"/>
      <c r="Q32"/>
      <c r="R32"/>
    </row>
    <row r="33" spans="6:18" x14ac:dyDescent="0.4">
      <c r="F33" s="20" t="s">
        <v>48</v>
      </c>
      <c r="G33" s="21">
        <v>129640.7</v>
      </c>
      <c r="K33" s="12" t="s">
        <v>64</v>
      </c>
      <c r="L33" s="27">
        <v>0.48527812317639274</v>
      </c>
      <c r="M33" s="28">
        <f>1-L33</f>
        <v>0.51472187682360726</v>
      </c>
      <c r="P33"/>
      <c r="Q33"/>
      <c r="R33"/>
    </row>
    <row r="34" spans="6:18" x14ac:dyDescent="0.4">
      <c r="F34" s="22" t="s">
        <v>17</v>
      </c>
      <c r="G34" s="23">
        <v>128235.65</v>
      </c>
      <c r="P34"/>
      <c r="Q34"/>
      <c r="R34"/>
    </row>
    <row r="35" spans="6:18" x14ac:dyDescent="0.4">
      <c r="K35" s="11" t="s">
        <v>2</v>
      </c>
      <c r="L35" s="8" t="s">
        <v>76</v>
      </c>
      <c r="M35" s="18" t="s">
        <v>89</v>
      </c>
      <c r="P35"/>
      <c r="Q35"/>
      <c r="R35"/>
    </row>
    <row r="36" spans="6:18" x14ac:dyDescent="0.4">
      <c r="K36" s="12" t="s">
        <v>62</v>
      </c>
      <c r="L36" s="14">
        <v>0.44983853240173749</v>
      </c>
      <c r="M36" s="26">
        <f>1-L36</f>
        <v>0.55016146759826245</v>
      </c>
      <c r="P36"/>
      <c r="Q36"/>
      <c r="R36"/>
    </row>
    <row r="37" spans="6:18" x14ac:dyDescent="0.4">
      <c r="P37"/>
      <c r="Q37"/>
      <c r="R37"/>
    </row>
    <row r="38" spans="6:18" x14ac:dyDescent="0.4">
      <c r="P38"/>
      <c r="Q38"/>
      <c r="R38"/>
    </row>
    <row r="39" spans="6:18" x14ac:dyDescent="0.4">
      <c r="P39"/>
      <c r="Q39"/>
      <c r="R39"/>
    </row>
    <row r="40" spans="6:18" x14ac:dyDescent="0.4">
      <c r="P40"/>
      <c r="Q40"/>
      <c r="R40"/>
    </row>
    <row r="41" spans="6:18" x14ac:dyDescent="0.4">
      <c r="P41"/>
      <c r="Q41"/>
      <c r="R41"/>
    </row>
    <row r="42" spans="6:18" x14ac:dyDescent="0.4">
      <c r="P42"/>
      <c r="Q42"/>
      <c r="R42"/>
    </row>
    <row r="43" spans="6:18" x14ac:dyDescent="0.4">
      <c r="P43"/>
      <c r="Q43"/>
      <c r="R43"/>
    </row>
    <row r="44" spans="6:18" x14ac:dyDescent="0.4">
      <c r="P44"/>
      <c r="Q44"/>
      <c r="R44"/>
    </row>
    <row r="45" spans="6:18" x14ac:dyDescent="0.4">
      <c r="P45"/>
      <c r="Q45"/>
      <c r="R45"/>
    </row>
    <row r="46" spans="6:18" x14ac:dyDescent="0.4">
      <c r="P46"/>
      <c r="Q46"/>
      <c r="R46"/>
    </row>
    <row r="47" spans="6:18" x14ac:dyDescent="0.4">
      <c r="P47"/>
      <c r="Q47"/>
      <c r="R47"/>
    </row>
    <row r="48" spans="6:18" x14ac:dyDescent="0.4">
      <c r="P48"/>
      <c r="Q48"/>
      <c r="R48"/>
    </row>
    <row r="49" spans="16:18" x14ac:dyDescent="0.4">
      <c r="P49"/>
      <c r="Q49"/>
      <c r="R49"/>
    </row>
    <row r="50" spans="16:18" x14ac:dyDescent="0.4">
      <c r="P50"/>
      <c r="Q50"/>
      <c r="R50"/>
    </row>
    <row r="51" spans="16:18" x14ac:dyDescent="0.4">
      <c r="P51"/>
      <c r="Q51"/>
      <c r="R51"/>
    </row>
    <row r="52" spans="16:18" x14ac:dyDescent="0.4">
      <c r="P52"/>
      <c r="Q52"/>
      <c r="R52"/>
    </row>
    <row r="53" spans="16:18" x14ac:dyDescent="0.4">
      <c r="P53"/>
      <c r="Q53"/>
      <c r="R53"/>
    </row>
    <row r="54" spans="16:18" x14ac:dyDescent="0.4">
      <c r="P54"/>
      <c r="Q54"/>
      <c r="R54"/>
    </row>
  </sheetData>
  <mergeCells count="6">
    <mergeCell ref="K7:M7"/>
    <mergeCell ref="P7:R7"/>
    <mergeCell ref="F7:H7"/>
    <mergeCell ref="A7:C7"/>
    <mergeCell ref="F17:H17"/>
    <mergeCell ref="K22:M22"/>
  </mergeCells>
  <pageMargins left="0.7" right="0.7" top="0.75" bottom="0.75" header="0.3" footer="0.3"/>
  <drawing r:id="rId12"/>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0969-2142-4BC6-BCF3-384D550224A5}">
  <sheetPr>
    <tabColor rgb="FFAA3D4F"/>
  </sheetPr>
  <dimension ref="A1:K201"/>
  <sheetViews>
    <sheetView workbookViewId="0">
      <selection activeCell="C9" sqref="C9"/>
    </sheetView>
  </sheetViews>
  <sheetFormatPr defaultRowHeight="17.600000000000001" x14ac:dyDescent="0.4"/>
  <cols>
    <col min="1" max="1" width="9.61328125" style="4" bestFit="1" customWidth="1"/>
    <col min="2" max="2" width="9.53515625" style="4" bestFit="1" customWidth="1"/>
    <col min="3" max="4" width="19.3046875" style="4" customWidth="1"/>
    <col min="5" max="5" width="13.53515625" style="4" bestFit="1" customWidth="1"/>
    <col min="6" max="6" width="13.53515625" style="4" customWidth="1"/>
    <col min="7" max="7" width="14.3828125" style="4" bestFit="1" customWidth="1"/>
    <col min="8" max="8" width="14.3828125" style="4" customWidth="1"/>
    <col min="9" max="9" width="11.765625" style="4" bestFit="1" customWidth="1"/>
    <col min="10" max="11" width="10.61328125" style="4" bestFit="1" customWidth="1"/>
    <col min="12" max="12" width="17.3046875" style="4" bestFit="1" customWidth="1"/>
    <col min="13" max="13" width="10.61328125" style="4" bestFit="1" customWidth="1"/>
    <col min="14" max="14" width="15.15234375" style="4" bestFit="1" customWidth="1"/>
    <col min="15" max="15" width="11.07421875" style="4" bestFit="1" customWidth="1"/>
    <col min="16" max="16" width="11.4609375" style="4" bestFit="1" customWidth="1"/>
    <col min="17" max="19" width="10.61328125" style="4" bestFit="1" customWidth="1"/>
    <col min="20" max="16384" width="9.23046875" style="4"/>
  </cols>
  <sheetData>
    <row r="1" spans="1:11" x14ac:dyDescent="0.4">
      <c r="A1" s="4" t="s">
        <v>0</v>
      </c>
      <c r="B1" s="4" t="s">
        <v>1</v>
      </c>
      <c r="C1" s="4" t="s">
        <v>2</v>
      </c>
      <c r="D1" s="4" t="s">
        <v>75</v>
      </c>
      <c r="E1" s="4" t="s">
        <v>3</v>
      </c>
      <c r="F1" s="4" t="s">
        <v>74</v>
      </c>
      <c r="G1" s="4" t="s">
        <v>4</v>
      </c>
      <c r="H1" s="4" t="s">
        <v>73</v>
      </c>
      <c r="I1" s="4" t="s">
        <v>5</v>
      </c>
      <c r="J1" s="4" t="s">
        <v>6</v>
      </c>
      <c r="K1" s="4" t="s">
        <v>7</v>
      </c>
    </row>
    <row r="2" spans="1:11" x14ac:dyDescent="0.4">
      <c r="A2" s="4" t="s">
        <v>8</v>
      </c>
      <c r="B2" s="4" t="s">
        <v>9</v>
      </c>
      <c r="C2" s="4" t="s">
        <v>10</v>
      </c>
      <c r="D2" s="4" t="str">
        <f>VLOOKUP(data[[#This Row],[Category]],Category.,2,0)</f>
        <v>Electr.</v>
      </c>
      <c r="E2" s="4" t="s">
        <v>11</v>
      </c>
      <c r="F2" s="4" t="str">
        <f>VLOOKUP(data[[#This Row],[Product]],Product.,2,0)</f>
        <v>Smar.</v>
      </c>
      <c r="G2" s="4" t="s">
        <v>12</v>
      </c>
      <c r="H2" s="4" t="str">
        <f>VLOOKUP(data[[#This Row],[State]],State.,2,0)</f>
        <v>CL</v>
      </c>
      <c r="I2" s="4">
        <v>1</v>
      </c>
      <c r="J2" s="4">
        <v>2122.15</v>
      </c>
      <c r="K2" s="4">
        <v>1384.86</v>
      </c>
    </row>
    <row r="3" spans="1:11" x14ac:dyDescent="0.4">
      <c r="A3" s="4" t="s">
        <v>13</v>
      </c>
      <c r="B3" s="4" t="s">
        <v>14</v>
      </c>
      <c r="C3" s="4" t="s">
        <v>15</v>
      </c>
      <c r="D3" s="4" t="str">
        <f>VLOOKUP(data[[#This Row],[Category]],Category.,2,0)</f>
        <v>Cloth.</v>
      </c>
      <c r="E3" s="4" t="s">
        <v>16</v>
      </c>
      <c r="F3" s="4" t="str">
        <f>VLOOKUP(data[[#This Row],[Product]],Product.,2,0)</f>
        <v>Jean.</v>
      </c>
      <c r="G3" s="4" t="s">
        <v>17</v>
      </c>
      <c r="H3" s="4" t="str">
        <f>VLOOKUP(data[[#This Row],[State]],State.,2,0)</f>
        <v>TX</v>
      </c>
      <c r="I3" s="4">
        <v>5</v>
      </c>
      <c r="J3" s="4">
        <v>8413.3700000000008</v>
      </c>
      <c r="K3" s="4">
        <v>6642.86</v>
      </c>
    </row>
    <row r="4" spans="1:11" x14ac:dyDescent="0.4">
      <c r="A4" s="4" t="s">
        <v>18</v>
      </c>
      <c r="B4" s="4" t="s">
        <v>19</v>
      </c>
      <c r="C4" s="4" t="s">
        <v>20</v>
      </c>
      <c r="D4" s="4" t="str">
        <f>VLOOKUP(data[[#This Row],[Category]],Category.,2,0)</f>
        <v>Sp. &amp; Fi.</v>
      </c>
      <c r="E4" s="4" t="s">
        <v>21</v>
      </c>
      <c r="F4" s="4" t="str">
        <f>VLOOKUP(data[[#This Row],[Product]],Product.,2,0)</f>
        <v>Yoga.</v>
      </c>
      <c r="G4" s="4" t="s">
        <v>22</v>
      </c>
      <c r="H4" s="4" t="str">
        <f>VLOOKUP(data[[#This Row],[State]],State.,2,0)</f>
        <v>NY</v>
      </c>
      <c r="I4" s="4">
        <v>5</v>
      </c>
      <c r="J4" s="4">
        <v>9088.41</v>
      </c>
      <c r="K4" s="4">
        <v>4855.3</v>
      </c>
    </row>
    <row r="5" spans="1:11" x14ac:dyDescent="0.4">
      <c r="A5" s="4" t="s">
        <v>23</v>
      </c>
      <c r="B5" s="4" t="s">
        <v>9</v>
      </c>
      <c r="C5" s="4" t="s">
        <v>24</v>
      </c>
      <c r="D5" s="4" t="str">
        <f>VLOOKUP(data[[#This Row],[Category]],Category.,2,0)</f>
        <v>Fo. &amp; Be.</v>
      </c>
      <c r="E5" s="4" t="s">
        <v>25</v>
      </c>
      <c r="F5" s="4" t="str">
        <f>VLOOKUP(data[[#This Row],[Product]],Product.,2,0)</f>
        <v>Snac.</v>
      </c>
      <c r="G5" s="4" t="s">
        <v>17</v>
      </c>
      <c r="H5" s="4" t="str">
        <f>VLOOKUP(data[[#This Row],[State]],State.,2,0)</f>
        <v>TX</v>
      </c>
      <c r="I5" s="4">
        <v>3</v>
      </c>
      <c r="J5" s="4">
        <v>3250.66</v>
      </c>
      <c r="K5" s="4">
        <v>395.36</v>
      </c>
    </row>
    <row r="6" spans="1:11" x14ac:dyDescent="0.4">
      <c r="A6" s="4" t="s">
        <v>26</v>
      </c>
      <c r="B6" s="4" t="s">
        <v>9</v>
      </c>
      <c r="C6" s="4" t="s">
        <v>15</v>
      </c>
      <c r="D6" s="4" t="str">
        <f>VLOOKUP(data[[#This Row],[Category]],Category.,2,0)</f>
        <v>Cloth.</v>
      </c>
      <c r="E6" s="4" t="s">
        <v>27</v>
      </c>
      <c r="F6" s="4" t="str">
        <f>VLOOKUP(data[[#This Row],[Product]],Product.,2,0)</f>
        <v>Jack.</v>
      </c>
      <c r="G6" s="4" t="s">
        <v>28</v>
      </c>
      <c r="H6" s="4" t="str">
        <f>VLOOKUP(data[[#This Row],[State]],State.,2,0)</f>
        <v>FL</v>
      </c>
      <c r="I6" s="4">
        <v>5</v>
      </c>
      <c r="J6" s="4">
        <v>8721.92</v>
      </c>
      <c r="K6" s="4">
        <v>2873.34</v>
      </c>
    </row>
    <row r="7" spans="1:11" x14ac:dyDescent="0.4">
      <c r="A7" s="4" t="s">
        <v>29</v>
      </c>
      <c r="B7" s="4" t="s">
        <v>30</v>
      </c>
      <c r="C7" s="4" t="s">
        <v>24</v>
      </c>
      <c r="D7" s="4" t="str">
        <f>VLOOKUP(data[[#This Row],[Category]],Category.,2,0)</f>
        <v>Fo. &amp; Be.</v>
      </c>
      <c r="E7" s="4" t="s">
        <v>31</v>
      </c>
      <c r="F7" s="4" t="str">
        <f>VLOOKUP(data[[#This Row],[Product]],Product.,2,0)</f>
        <v>Juic.</v>
      </c>
      <c r="G7" s="4" t="s">
        <v>12</v>
      </c>
      <c r="H7" s="4" t="str">
        <f>VLOOKUP(data[[#This Row],[State]],State.,2,0)</f>
        <v>CL</v>
      </c>
      <c r="I7" s="4">
        <v>5</v>
      </c>
      <c r="J7" s="4">
        <v>2361.0700000000002</v>
      </c>
      <c r="K7" s="4">
        <v>126.6</v>
      </c>
    </row>
    <row r="8" spans="1:11" x14ac:dyDescent="0.4">
      <c r="A8" s="4" t="s">
        <v>26</v>
      </c>
      <c r="B8" s="4" t="s">
        <v>32</v>
      </c>
      <c r="C8" s="4" t="s">
        <v>20</v>
      </c>
      <c r="D8" s="4" t="str">
        <f>VLOOKUP(data[[#This Row],[Category]],Category.,2,0)</f>
        <v>Sp. &amp; Fi.</v>
      </c>
      <c r="E8" s="4" t="s">
        <v>33</v>
      </c>
      <c r="F8" s="4" t="str">
        <f>VLOOKUP(data[[#This Row],[Product]],Product.,2,0)</f>
        <v>Bicy.</v>
      </c>
      <c r="G8" s="4" t="s">
        <v>34</v>
      </c>
      <c r="H8" s="4" t="str">
        <f>VLOOKUP(data[[#This Row],[State]],State.,2,0)</f>
        <v>IL</v>
      </c>
      <c r="I8" s="4">
        <v>1</v>
      </c>
      <c r="J8" s="4">
        <v>6033.49</v>
      </c>
      <c r="K8" s="4">
        <v>713.3</v>
      </c>
    </row>
    <row r="9" spans="1:11" x14ac:dyDescent="0.4">
      <c r="A9" s="4" t="s">
        <v>13</v>
      </c>
      <c r="B9" s="4" t="s">
        <v>9</v>
      </c>
      <c r="C9" s="4" t="s">
        <v>35</v>
      </c>
      <c r="D9" s="4" t="str">
        <f>VLOOKUP(data[[#This Row],[Category]],Category.,2,0)</f>
        <v>Ho. Ap.</v>
      </c>
      <c r="E9" s="4" t="s">
        <v>36</v>
      </c>
      <c r="F9" s="4" t="str">
        <f>VLOOKUP(data[[#This Row],[Product]],Product.,2,0)</f>
        <v>Micr.</v>
      </c>
      <c r="G9" s="4" t="s">
        <v>17</v>
      </c>
      <c r="H9" s="4" t="str">
        <f>VLOOKUP(data[[#This Row],[State]],State.,2,0)</f>
        <v>TX</v>
      </c>
      <c r="I9" s="4">
        <v>3</v>
      </c>
      <c r="J9" s="4">
        <v>2770.26</v>
      </c>
      <c r="K9" s="4">
        <v>633.86</v>
      </c>
    </row>
    <row r="10" spans="1:11" x14ac:dyDescent="0.4">
      <c r="A10" s="4" t="s">
        <v>37</v>
      </c>
      <c r="B10" s="4" t="s">
        <v>9</v>
      </c>
      <c r="C10" s="4" t="s">
        <v>10</v>
      </c>
      <c r="D10" s="4" t="str">
        <f>VLOOKUP(data[[#This Row],[Category]],Category.,2,0)</f>
        <v>Electr.</v>
      </c>
      <c r="E10" s="4" t="s">
        <v>11</v>
      </c>
      <c r="F10" s="4" t="str">
        <f>VLOOKUP(data[[#This Row],[Product]],Product.,2,0)</f>
        <v>Smar.</v>
      </c>
      <c r="G10" s="4" t="s">
        <v>28</v>
      </c>
      <c r="H10" s="4" t="str">
        <f>VLOOKUP(data[[#This Row],[State]],State.,2,0)</f>
        <v>FL</v>
      </c>
      <c r="I10" s="4">
        <v>1</v>
      </c>
      <c r="J10" s="4">
        <v>3101.1</v>
      </c>
      <c r="K10" s="4">
        <v>1063.08</v>
      </c>
    </row>
    <row r="11" spans="1:11" x14ac:dyDescent="0.4">
      <c r="A11" s="4" t="s">
        <v>38</v>
      </c>
      <c r="B11" s="4" t="s">
        <v>39</v>
      </c>
      <c r="C11" s="4" t="s">
        <v>20</v>
      </c>
      <c r="D11" s="4" t="str">
        <f>VLOOKUP(data[[#This Row],[Category]],Category.,2,0)</f>
        <v>Sp. &amp; Fi.</v>
      </c>
      <c r="E11" s="4" t="s">
        <v>33</v>
      </c>
      <c r="F11" s="4" t="str">
        <f>VLOOKUP(data[[#This Row],[Product]],Product.,2,0)</f>
        <v>Bicy.</v>
      </c>
      <c r="G11" s="4" t="s">
        <v>12</v>
      </c>
      <c r="H11" s="4" t="str">
        <f>VLOOKUP(data[[#This Row],[State]],State.,2,0)</f>
        <v>CL</v>
      </c>
      <c r="I11" s="4">
        <v>2</v>
      </c>
      <c r="J11" s="4">
        <v>9995.59</v>
      </c>
      <c r="K11" s="4">
        <v>6411.72</v>
      </c>
    </row>
    <row r="12" spans="1:11" x14ac:dyDescent="0.4">
      <c r="A12" s="4" t="s">
        <v>40</v>
      </c>
      <c r="B12" s="4" t="s">
        <v>14</v>
      </c>
      <c r="C12" s="4" t="s">
        <v>35</v>
      </c>
      <c r="D12" s="4" t="str">
        <f>VLOOKUP(data[[#This Row],[Category]],Category.,2,0)</f>
        <v>Ho. Ap.</v>
      </c>
      <c r="E12" s="4" t="s">
        <v>36</v>
      </c>
      <c r="F12" s="4" t="str">
        <f>VLOOKUP(data[[#This Row],[Product]],Product.,2,0)</f>
        <v>Micr.</v>
      </c>
      <c r="G12" s="4" t="s">
        <v>12</v>
      </c>
      <c r="H12" s="4" t="str">
        <f>VLOOKUP(data[[#This Row],[State]],State.,2,0)</f>
        <v>CL</v>
      </c>
      <c r="I12" s="4">
        <v>1</v>
      </c>
      <c r="J12" s="4">
        <v>6751.92</v>
      </c>
      <c r="K12" s="4">
        <v>4074.55</v>
      </c>
    </row>
    <row r="13" spans="1:11" x14ac:dyDescent="0.4">
      <c r="A13" s="4" t="s">
        <v>41</v>
      </c>
      <c r="B13" s="4" t="s">
        <v>30</v>
      </c>
      <c r="C13" s="4" t="s">
        <v>20</v>
      </c>
      <c r="D13" s="4" t="str">
        <f>VLOOKUP(data[[#This Row],[Category]],Category.,2,0)</f>
        <v>Sp. &amp; Fi.</v>
      </c>
      <c r="E13" s="4" t="s">
        <v>42</v>
      </c>
      <c r="F13" s="4" t="str">
        <f>VLOOKUP(data[[#This Row],[Product]],Product.,2,0)</f>
        <v>Dumb.</v>
      </c>
      <c r="G13" s="4" t="s">
        <v>22</v>
      </c>
      <c r="H13" s="4" t="str">
        <f>VLOOKUP(data[[#This Row],[State]],State.,2,0)</f>
        <v>NY</v>
      </c>
      <c r="I13" s="4">
        <v>4</v>
      </c>
      <c r="J13" s="4">
        <v>1619.29</v>
      </c>
      <c r="K13" s="4">
        <v>1268.3900000000001</v>
      </c>
    </row>
    <row r="14" spans="1:11" x14ac:dyDescent="0.4">
      <c r="A14" s="4" t="s">
        <v>8</v>
      </c>
      <c r="B14" s="4" t="s">
        <v>14</v>
      </c>
      <c r="C14" s="4" t="s">
        <v>35</v>
      </c>
      <c r="D14" s="4" t="str">
        <f>VLOOKUP(data[[#This Row],[Category]],Category.,2,0)</f>
        <v>Ho. Ap.</v>
      </c>
      <c r="E14" s="4" t="s">
        <v>36</v>
      </c>
      <c r="F14" s="4" t="str">
        <f>VLOOKUP(data[[#This Row],[Product]],Product.,2,0)</f>
        <v>Micr.</v>
      </c>
      <c r="G14" s="4" t="s">
        <v>22</v>
      </c>
      <c r="H14" s="4" t="str">
        <f>VLOOKUP(data[[#This Row],[State]],State.,2,0)</f>
        <v>NY</v>
      </c>
      <c r="I14" s="4">
        <v>3</v>
      </c>
      <c r="J14" s="4">
        <v>1062.95</v>
      </c>
      <c r="K14" s="4">
        <v>12.54</v>
      </c>
    </row>
    <row r="15" spans="1:11" x14ac:dyDescent="0.4">
      <c r="A15" s="4" t="s">
        <v>38</v>
      </c>
      <c r="B15" s="4" t="s">
        <v>9</v>
      </c>
      <c r="C15" s="4" t="s">
        <v>15</v>
      </c>
      <c r="D15" s="4" t="str">
        <f>VLOOKUP(data[[#This Row],[Category]],Category.,2,0)</f>
        <v>Cloth.</v>
      </c>
      <c r="E15" s="4" t="s">
        <v>43</v>
      </c>
      <c r="F15" s="4" t="str">
        <f>VLOOKUP(data[[#This Row],[Product]],Product.,2,0)</f>
        <v>T-Sh.</v>
      </c>
      <c r="G15" s="4" t="s">
        <v>17</v>
      </c>
      <c r="H15" s="4" t="str">
        <f>VLOOKUP(data[[#This Row],[State]],State.,2,0)</f>
        <v>TX</v>
      </c>
      <c r="I15" s="4">
        <v>5</v>
      </c>
      <c r="J15" s="4">
        <v>6399.74</v>
      </c>
      <c r="K15" s="4">
        <v>2725.63</v>
      </c>
    </row>
    <row r="16" spans="1:11" x14ac:dyDescent="0.4">
      <c r="A16" s="4" t="s">
        <v>8</v>
      </c>
      <c r="B16" s="4" t="s">
        <v>9</v>
      </c>
      <c r="C16" s="4" t="s">
        <v>35</v>
      </c>
      <c r="D16" s="4" t="str">
        <f>VLOOKUP(data[[#This Row],[Category]],Category.,2,0)</f>
        <v>Ho. Ap.</v>
      </c>
      <c r="E16" s="4" t="s">
        <v>44</v>
      </c>
      <c r="F16" s="4" t="str">
        <f>VLOOKUP(data[[#This Row],[Product]],Product.,2,0)</f>
        <v>Dish.</v>
      </c>
      <c r="G16" s="4" t="s">
        <v>28</v>
      </c>
      <c r="H16" s="4" t="str">
        <f>VLOOKUP(data[[#This Row],[State]],State.,2,0)</f>
        <v>FL</v>
      </c>
      <c r="I16" s="4">
        <v>4</v>
      </c>
      <c r="J16" s="4">
        <v>1184.17</v>
      </c>
      <c r="K16" s="4">
        <v>1004.27</v>
      </c>
    </row>
    <row r="17" spans="1:11" x14ac:dyDescent="0.4">
      <c r="A17" s="4" t="s">
        <v>37</v>
      </c>
      <c r="B17" s="4" t="s">
        <v>14</v>
      </c>
      <c r="C17" s="4" t="s">
        <v>20</v>
      </c>
      <c r="D17" s="4" t="str">
        <f>VLOOKUP(data[[#This Row],[Category]],Category.,2,0)</f>
        <v>Sp. &amp; Fi.</v>
      </c>
      <c r="E17" s="4" t="s">
        <v>42</v>
      </c>
      <c r="F17" s="4" t="str">
        <f>VLOOKUP(data[[#This Row],[Product]],Product.,2,0)</f>
        <v>Dumb.</v>
      </c>
      <c r="G17" s="4" t="s">
        <v>12</v>
      </c>
      <c r="H17" s="4" t="str">
        <f>VLOOKUP(data[[#This Row],[State]],State.,2,0)</f>
        <v>CL</v>
      </c>
      <c r="I17" s="4">
        <v>2</v>
      </c>
      <c r="J17" s="4">
        <v>3336.38</v>
      </c>
      <c r="K17" s="4">
        <v>572.85</v>
      </c>
    </row>
    <row r="18" spans="1:11" x14ac:dyDescent="0.4">
      <c r="A18" s="4" t="s">
        <v>37</v>
      </c>
      <c r="B18" s="4" t="s">
        <v>30</v>
      </c>
      <c r="C18" s="4" t="s">
        <v>24</v>
      </c>
      <c r="D18" s="4" t="str">
        <f>VLOOKUP(data[[#This Row],[Category]],Category.,2,0)</f>
        <v>Fo. &amp; Be.</v>
      </c>
      <c r="E18" s="4" t="s">
        <v>45</v>
      </c>
      <c r="F18" s="4" t="str">
        <f>VLOOKUP(data[[#This Row],[Product]],Product.,2,0)</f>
        <v>Tea.</v>
      </c>
      <c r="G18" s="4" t="s">
        <v>12</v>
      </c>
      <c r="H18" s="4" t="str">
        <f>VLOOKUP(data[[#This Row],[State]],State.,2,0)</f>
        <v>CL</v>
      </c>
      <c r="I18" s="4">
        <v>2</v>
      </c>
      <c r="J18" s="4">
        <v>8421.1</v>
      </c>
      <c r="K18" s="4">
        <v>831.55</v>
      </c>
    </row>
    <row r="19" spans="1:11" x14ac:dyDescent="0.4">
      <c r="A19" s="4" t="s">
        <v>37</v>
      </c>
      <c r="B19" s="4" t="s">
        <v>30</v>
      </c>
      <c r="C19" s="4" t="s">
        <v>15</v>
      </c>
      <c r="D19" s="4" t="str">
        <f>VLOOKUP(data[[#This Row],[Category]],Category.,2,0)</f>
        <v>Cloth.</v>
      </c>
      <c r="E19" s="4" t="s">
        <v>46</v>
      </c>
      <c r="F19" s="4" t="str">
        <f>VLOOKUP(data[[#This Row],[Product]],Product.,2,0)</f>
        <v>Swea.</v>
      </c>
      <c r="G19" s="4" t="s">
        <v>34</v>
      </c>
      <c r="H19" s="4" t="str">
        <f>VLOOKUP(data[[#This Row],[State]],State.,2,0)</f>
        <v>IL</v>
      </c>
      <c r="I19" s="4">
        <v>1</v>
      </c>
      <c r="J19" s="4">
        <v>455.63</v>
      </c>
      <c r="K19" s="4">
        <v>319.60000000000002</v>
      </c>
    </row>
    <row r="20" spans="1:11" x14ac:dyDescent="0.4">
      <c r="A20" s="4" t="s">
        <v>8</v>
      </c>
      <c r="B20" s="4" t="s">
        <v>39</v>
      </c>
      <c r="C20" s="4" t="s">
        <v>20</v>
      </c>
      <c r="D20" s="4" t="str">
        <f>VLOOKUP(data[[#This Row],[Category]],Category.,2,0)</f>
        <v>Sp. &amp; Fi.</v>
      </c>
      <c r="E20" s="4" t="s">
        <v>42</v>
      </c>
      <c r="F20" s="4" t="str">
        <f>VLOOKUP(data[[#This Row],[Product]],Product.,2,0)</f>
        <v>Dumb.</v>
      </c>
      <c r="G20" s="4" t="s">
        <v>28</v>
      </c>
      <c r="H20" s="4" t="str">
        <f>VLOOKUP(data[[#This Row],[State]],State.,2,0)</f>
        <v>FL</v>
      </c>
      <c r="I20" s="4">
        <v>2</v>
      </c>
      <c r="J20" s="4">
        <v>3638.37</v>
      </c>
      <c r="K20" s="4">
        <v>3250.9</v>
      </c>
    </row>
    <row r="21" spans="1:11" x14ac:dyDescent="0.4">
      <c r="A21" s="4" t="s">
        <v>40</v>
      </c>
      <c r="B21" s="4" t="s">
        <v>14</v>
      </c>
      <c r="C21" s="4" t="s">
        <v>10</v>
      </c>
      <c r="D21" s="4" t="str">
        <f>VLOOKUP(data[[#This Row],[Category]],Category.,2,0)</f>
        <v>Electr.</v>
      </c>
      <c r="E21" s="4" t="s">
        <v>47</v>
      </c>
      <c r="F21" s="4" t="str">
        <f>VLOOKUP(data[[#This Row],[Product]],Product.,2,0)</f>
        <v>Head.</v>
      </c>
      <c r="G21" s="4" t="s">
        <v>12</v>
      </c>
      <c r="H21" s="4" t="str">
        <f>VLOOKUP(data[[#This Row],[State]],State.,2,0)</f>
        <v>CL</v>
      </c>
      <c r="I21" s="4">
        <v>1</v>
      </c>
      <c r="J21" s="4">
        <v>1147.8399999999999</v>
      </c>
      <c r="K21" s="4">
        <v>888.28</v>
      </c>
    </row>
    <row r="22" spans="1:11" x14ac:dyDescent="0.4">
      <c r="A22" s="4" t="s">
        <v>18</v>
      </c>
      <c r="B22" s="4" t="s">
        <v>39</v>
      </c>
      <c r="C22" s="4" t="s">
        <v>10</v>
      </c>
      <c r="D22" s="4" t="str">
        <f>VLOOKUP(data[[#This Row],[Category]],Category.,2,0)</f>
        <v>Electr.</v>
      </c>
      <c r="E22" s="4" t="s">
        <v>11</v>
      </c>
      <c r="F22" s="4" t="str">
        <f>VLOOKUP(data[[#This Row],[Product]],Product.,2,0)</f>
        <v>Smar.</v>
      </c>
      <c r="G22" s="4" t="s">
        <v>48</v>
      </c>
      <c r="H22" s="4" t="str">
        <f>VLOOKUP(data[[#This Row],[State]],State.,2,0)</f>
        <v>PN</v>
      </c>
      <c r="I22" s="4">
        <v>5</v>
      </c>
      <c r="J22" s="4">
        <v>2413.4499999999998</v>
      </c>
      <c r="K22" s="4">
        <v>254.14</v>
      </c>
    </row>
    <row r="23" spans="1:11" x14ac:dyDescent="0.4">
      <c r="A23" s="4" t="s">
        <v>23</v>
      </c>
      <c r="B23" s="4" t="s">
        <v>30</v>
      </c>
      <c r="C23" s="4" t="s">
        <v>15</v>
      </c>
      <c r="D23" s="4" t="str">
        <f>VLOOKUP(data[[#This Row],[Category]],Category.,2,0)</f>
        <v>Cloth.</v>
      </c>
      <c r="E23" s="4" t="s">
        <v>16</v>
      </c>
      <c r="F23" s="4" t="str">
        <f>VLOOKUP(data[[#This Row],[Product]],Product.,2,0)</f>
        <v>Jean.</v>
      </c>
      <c r="G23" s="4" t="s">
        <v>28</v>
      </c>
      <c r="H23" s="4" t="str">
        <f>VLOOKUP(data[[#This Row],[State]],State.,2,0)</f>
        <v>FL</v>
      </c>
      <c r="I23" s="4">
        <v>1</v>
      </c>
      <c r="J23" s="4">
        <v>8105.44</v>
      </c>
      <c r="K23" s="4">
        <v>6249.24</v>
      </c>
    </row>
    <row r="24" spans="1:11" x14ac:dyDescent="0.4">
      <c r="A24" s="4" t="s">
        <v>29</v>
      </c>
      <c r="B24" s="4" t="s">
        <v>49</v>
      </c>
      <c r="C24" s="4" t="s">
        <v>35</v>
      </c>
      <c r="D24" s="4" t="str">
        <f>VLOOKUP(data[[#This Row],[Category]],Category.,2,0)</f>
        <v>Ho. Ap.</v>
      </c>
      <c r="E24" s="4" t="s">
        <v>50</v>
      </c>
      <c r="F24" s="4" t="str">
        <f>VLOOKUP(data[[#This Row],[Product]],Product.,2,0)</f>
        <v>Refr.</v>
      </c>
      <c r="G24" s="4" t="s">
        <v>28</v>
      </c>
      <c r="H24" s="4" t="str">
        <f>VLOOKUP(data[[#This Row],[State]],State.,2,0)</f>
        <v>FL</v>
      </c>
      <c r="I24" s="4">
        <v>1</v>
      </c>
      <c r="J24" s="4">
        <v>3481.09</v>
      </c>
      <c r="K24" s="4">
        <v>1954.98</v>
      </c>
    </row>
    <row r="25" spans="1:11" x14ac:dyDescent="0.4">
      <c r="A25" s="4" t="s">
        <v>40</v>
      </c>
      <c r="B25" s="4" t="s">
        <v>19</v>
      </c>
      <c r="C25" s="4" t="s">
        <v>10</v>
      </c>
      <c r="D25" s="4" t="str">
        <f>VLOOKUP(data[[#This Row],[Category]],Category.,2,0)</f>
        <v>Electr.</v>
      </c>
      <c r="E25" s="4" t="s">
        <v>51</v>
      </c>
      <c r="F25" s="4" t="str">
        <f>VLOOKUP(data[[#This Row],[Product]],Product.,2,0)</f>
        <v>Came.</v>
      </c>
      <c r="G25" s="4" t="s">
        <v>12</v>
      </c>
      <c r="H25" s="4" t="str">
        <f>VLOOKUP(data[[#This Row],[State]],State.,2,0)</f>
        <v>CL</v>
      </c>
      <c r="I25" s="4">
        <v>2</v>
      </c>
      <c r="J25" s="4">
        <v>1366.9</v>
      </c>
      <c r="K25" s="4">
        <v>741.2</v>
      </c>
    </row>
    <row r="26" spans="1:11" x14ac:dyDescent="0.4">
      <c r="A26" s="4" t="s">
        <v>23</v>
      </c>
      <c r="B26" s="4" t="s">
        <v>30</v>
      </c>
      <c r="C26" s="4" t="s">
        <v>15</v>
      </c>
      <c r="D26" s="4" t="str">
        <f>VLOOKUP(data[[#This Row],[Category]],Category.,2,0)</f>
        <v>Cloth.</v>
      </c>
      <c r="E26" s="4" t="s">
        <v>27</v>
      </c>
      <c r="F26" s="4" t="str">
        <f>VLOOKUP(data[[#This Row],[Product]],Product.,2,0)</f>
        <v>Jack.</v>
      </c>
      <c r="G26" s="4" t="s">
        <v>34</v>
      </c>
      <c r="H26" s="4" t="str">
        <f>VLOOKUP(data[[#This Row],[State]],State.,2,0)</f>
        <v>IL</v>
      </c>
      <c r="I26" s="4">
        <v>4</v>
      </c>
      <c r="J26" s="4">
        <v>5313.49</v>
      </c>
      <c r="K26" s="4">
        <v>3318.13</v>
      </c>
    </row>
    <row r="27" spans="1:11" x14ac:dyDescent="0.4">
      <c r="A27" s="4" t="s">
        <v>52</v>
      </c>
      <c r="B27" s="4" t="s">
        <v>9</v>
      </c>
      <c r="C27" s="4" t="s">
        <v>20</v>
      </c>
      <c r="D27" s="4" t="str">
        <f>VLOOKUP(data[[#This Row],[Category]],Category.,2,0)</f>
        <v>Sp. &amp; Fi.</v>
      </c>
      <c r="E27" s="4" t="s">
        <v>53</v>
      </c>
      <c r="F27" s="4" t="str">
        <f>VLOOKUP(data[[#This Row],[Product]],Product.,2,0)</f>
        <v>Trea.</v>
      </c>
      <c r="G27" s="4" t="s">
        <v>17</v>
      </c>
      <c r="H27" s="4" t="str">
        <f>VLOOKUP(data[[#This Row],[State]],State.,2,0)</f>
        <v>TX</v>
      </c>
      <c r="I27" s="4">
        <v>4</v>
      </c>
      <c r="J27" s="4">
        <v>8291.9500000000007</v>
      </c>
      <c r="K27" s="4">
        <v>6119.23</v>
      </c>
    </row>
    <row r="28" spans="1:11" x14ac:dyDescent="0.4">
      <c r="A28" s="4" t="s">
        <v>38</v>
      </c>
      <c r="B28" s="4" t="s">
        <v>19</v>
      </c>
      <c r="C28" s="4" t="s">
        <v>20</v>
      </c>
      <c r="D28" s="4" t="str">
        <f>VLOOKUP(data[[#This Row],[Category]],Category.,2,0)</f>
        <v>Sp. &amp; Fi.</v>
      </c>
      <c r="E28" s="4" t="s">
        <v>33</v>
      </c>
      <c r="F28" s="4" t="str">
        <f>VLOOKUP(data[[#This Row],[Product]],Product.,2,0)</f>
        <v>Bicy.</v>
      </c>
      <c r="G28" s="4" t="s">
        <v>34</v>
      </c>
      <c r="H28" s="4" t="str">
        <f>VLOOKUP(data[[#This Row],[State]],State.,2,0)</f>
        <v>IL</v>
      </c>
      <c r="I28" s="4">
        <v>4</v>
      </c>
      <c r="J28" s="4">
        <v>6144.45</v>
      </c>
      <c r="K28" s="4">
        <v>3992.38</v>
      </c>
    </row>
    <row r="29" spans="1:11" x14ac:dyDescent="0.4">
      <c r="A29" s="4" t="s">
        <v>18</v>
      </c>
      <c r="B29" s="4" t="s">
        <v>9</v>
      </c>
      <c r="C29" s="4" t="s">
        <v>10</v>
      </c>
      <c r="D29" s="4" t="str">
        <f>VLOOKUP(data[[#This Row],[Category]],Category.,2,0)</f>
        <v>Electr.</v>
      </c>
      <c r="E29" s="4" t="s">
        <v>54</v>
      </c>
      <c r="F29" s="4" t="str">
        <f>VLOOKUP(data[[#This Row],[Product]],Product.,2,0)</f>
        <v>Lapt.</v>
      </c>
      <c r="G29" s="4" t="s">
        <v>34</v>
      </c>
      <c r="H29" s="4" t="str">
        <f>VLOOKUP(data[[#This Row],[State]],State.,2,0)</f>
        <v>IL</v>
      </c>
      <c r="I29" s="4">
        <v>2</v>
      </c>
      <c r="J29" s="4">
        <v>6458.2</v>
      </c>
      <c r="K29" s="4">
        <v>585.11</v>
      </c>
    </row>
    <row r="30" spans="1:11" x14ac:dyDescent="0.4">
      <c r="A30" s="4" t="s">
        <v>8</v>
      </c>
      <c r="B30" s="4" t="s">
        <v>9</v>
      </c>
      <c r="C30" s="4" t="s">
        <v>15</v>
      </c>
      <c r="D30" s="4" t="str">
        <f>VLOOKUP(data[[#This Row],[Category]],Category.,2,0)</f>
        <v>Cloth.</v>
      </c>
      <c r="E30" s="4" t="s">
        <v>16</v>
      </c>
      <c r="F30" s="4" t="str">
        <f>VLOOKUP(data[[#This Row],[Product]],Product.,2,0)</f>
        <v>Jean.</v>
      </c>
      <c r="G30" s="4" t="s">
        <v>12</v>
      </c>
      <c r="H30" s="4" t="str">
        <f>VLOOKUP(data[[#This Row],[State]],State.,2,0)</f>
        <v>CL</v>
      </c>
      <c r="I30" s="4">
        <v>2</v>
      </c>
      <c r="J30" s="4">
        <v>1714.15</v>
      </c>
      <c r="K30" s="4">
        <v>1408.89</v>
      </c>
    </row>
    <row r="31" spans="1:11" x14ac:dyDescent="0.4">
      <c r="A31" s="4" t="s">
        <v>55</v>
      </c>
      <c r="B31" s="4" t="s">
        <v>30</v>
      </c>
      <c r="C31" s="4" t="s">
        <v>20</v>
      </c>
      <c r="D31" s="4" t="str">
        <f>VLOOKUP(data[[#This Row],[Category]],Category.,2,0)</f>
        <v>Sp. &amp; Fi.</v>
      </c>
      <c r="E31" s="4" t="s">
        <v>33</v>
      </c>
      <c r="F31" s="4" t="str">
        <f>VLOOKUP(data[[#This Row],[Product]],Product.,2,0)</f>
        <v>Bicy.</v>
      </c>
      <c r="G31" s="4" t="s">
        <v>22</v>
      </c>
      <c r="H31" s="4" t="str">
        <f>VLOOKUP(data[[#This Row],[State]],State.,2,0)</f>
        <v>NY</v>
      </c>
      <c r="I31" s="4">
        <v>4</v>
      </c>
      <c r="J31" s="4">
        <v>5708.29</v>
      </c>
      <c r="K31" s="4">
        <v>289.67</v>
      </c>
    </row>
    <row r="32" spans="1:11" x14ac:dyDescent="0.4">
      <c r="A32" s="4" t="s">
        <v>18</v>
      </c>
      <c r="B32" s="4" t="s">
        <v>49</v>
      </c>
      <c r="C32" s="4" t="s">
        <v>15</v>
      </c>
      <c r="D32" s="4" t="str">
        <f>VLOOKUP(data[[#This Row],[Category]],Category.,2,0)</f>
        <v>Cloth.</v>
      </c>
      <c r="E32" s="4" t="s">
        <v>43</v>
      </c>
      <c r="F32" s="4" t="str">
        <f>VLOOKUP(data[[#This Row],[Product]],Product.,2,0)</f>
        <v>T-Sh.</v>
      </c>
      <c r="G32" s="4" t="s">
        <v>12</v>
      </c>
      <c r="H32" s="4" t="str">
        <f>VLOOKUP(data[[#This Row],[State]],State.,2,0)</f>
        <v>CL</v>
      </c>
      <c r="I32" s="4">
        <v>2</v>
      </c>
      <c r="J32" s="4">
        <v>1251.78</v>
      </c>
      <c r="K32" s="4">
        <v>478.76</v>
      </c>
    </row>
    <row r="33" spans="1:11" x14ac:dyDescent="0.4">
      <c r="A33" s="4" t="s">
        <v>40</v>
      </c>
      <c r="B33" s="4" t="s">
        <v>19</v>
      </c>
      <c r="C33" s="4" t="s">
        <v>24</v>
      </c>
      <c r="D33" s="4" t="str">
        <f>VLOOKUP(data[[#This Row],[Category]],Category.,2,0)</f>
        <v>Fo. &amp; Be.</v>
      </c>
      <c r="E33" s="4" t="s">
        <v>25</v>
      </c>
      <c r="F33" s="4" t="str">
        <f>VLOOKUP(data[[#This Row],[Product]],Product.,2,0)</f>
        <v>Snac.</v>
      </c>
      <c r="G33" s="4" t="s">
        <v>12</v>
      </c>
      <c r="H33" s="4" t="str">
        <f>VLOOKUP(data[[#This Row],[State]],State.,2,0)</f>
        <v>CL</v>
      </c>
      <c r="I33" s="4">
        <v>5</v>
      </c>
      <c r="J33" s="4">
        <v>3720.62</v>
      </c>
      <c r="K33" s="4">
        <v>2228.4299999999998</v>
      </c>
    </row>
    <row r="34" spans="1:11" x14ac:dyDescent="0.4">
      <c r="A34" s="4" t="s">
        <v>29</v>
      </c>
      <c r="B34" s="4" t="s">
        <v>30</v>
      </c>
      <c r="C34" s="4" t="s">
        <v>20</v>
      </c>
      <c r="D34" s="4" t="str">
        <f>VLOOKUP(data[[#This Row],[Category]],Category.,2,0)</f>
        <v>Sp. &amp; Fi.</v>
      </c>
      <c r="E34" s="4" t="s">
        <v>33</v>
      </c>
      <c r="F34" s="4" t="str">
        <f>VLOOKUP(data[[#This Row],[Product]],Product.,2,0)</f>
        <v>Bicy.</v>
      </c>
      <c r="G34" s="4" t="s">
        <v>17</v>
      </c>
      <c r="H34" s="4" t="str">
        <f>VLOOKUP(data[[#This Row],[State]],State.,2,0)</f>
        <v>TX</v>
      </c>
      <c r="I34" s="4">
        <v>4</v>
      </c>
      <c r="J34" s="4">
        <v>9523.52</v>
      </c>
      <c r="K34" s="4">
        <v>3268.02</v>
      </c>
    </row>
    <row r="35" spans="1:11" x14ac:dyDescent="0.4">
      <c r="A35" s="4" t="s">
        <v>40</v>
      </c>
      <c r="B35" s="4" t="s">
        <v>30</v>
      </c>
      <c r="C35" s="4" t="s">
        <v>10</v>
      </c>
      <c r="D35" s="4" t="str">
        <f>VLOOKUP(data[[#This Row],[Category]],Category.,2,0)</f>
        <v>Electr.</v>
      </c>
      <c r="E35" s="4" t="s">
        <v>51</v>
      </c>
      <c r="F35" s="4" t="str">
        <f>VLOOKUP(data[[#This Row],[Product]],Product.,2,0)</f>
        <v>Came.</v>
      </c>
      <c r="G35" s="4" t="s">
        <v>12</v>
      </c>
      <c r="H35" s="4" t="str">
        <f>VLOOKUP(data[[#This Row],[State]],State.,2,0)</f>
        <v>CL</v>
      </c>
      <c r="I35" s="4">
        <v>1</v>
      </c>
      <c r="J35" s="4">
        <v>2774.29</v>
      </c>
      <c r="K35" s="4">
        <v>454.3</v>
      </c>
    </row>
    <row r="36" spans="1:11" x14ac:dyDescent="0.4">
      <c r="A36" s="4" t="s">
        <v>37</v>
      </c>
      <c r="B36" s="4" t="s">
        <v>49</v>
      </c>
      <c r="C36" s="4" t="s">
        <v>10</v>
      </c>
      <c r="D36" s="4" t="str">
        <f>VLOOKUP(data[[#This Row],[Category]],Category.,2,0)</f>
        <v>Electr.</v>
      </c>
      <c r="E36" s="4" t="s">
        <v>54</v>
      </c>
      <c r="F36" s="4" t="str">
        <f>VLOOKUP(data[[#This Row],[Product]],Product.,2,0)</f>
        <v>Lapt.</v>
      </c>
      <c r="G36" s="4" t="s">
        <v>28</v>
      </c>
      <c r="H36" s="4" t="str">
        <f>VLOOKUP(data[[#This Row],[State]],State.,2,0)</f>
        <v>FL</v>
      </c>
      <c r="I36" s="4">
        <v>1</v>
      </c>
      <c r="J36" s="4">
        <v>3788.17</v>
      </c>
      <c r="K36" s="4">
        <v>2227.1799999999998</v>
      </c>
    </row>
    <row r="37" spans="1:11" x14ac:dyDescent="0.4">
      <c r="A37" s="4" t="s">
        <v>37</v>
      </c>
      <c r="B37" s="4" t="s">
        <v>32</v>
      </c>
      <c r="C37" s="4" t="s">
        <v>24</v>
      </c>
      <c r="D37" s="4" t="str">
        <f>VLOOKUP(data[[#This Row],[Category]],Category.,2,0)</f>
        <v>Fo. &amp; Be.</v>
      </c>
      <c r="E37" s="4" t="s">
        <v>25</v>
      </c>
      <c r="F37" s="4" t="str">
        <f>VLOOKUP(data[[#This Row],[Product]],Product.,2,0)</f>
        <v>Snac.</v>
      </c>
      <c r="G37" s="4" t="s">
        <v>34</v>
      </c>
      <c r="H37" s="4" t="str">
        <f>VLOOKUP(data[[#This Row],[State]],State.,2,0)</f>
        <v>IL</v>
      </c>
      <c r="I37" s="4">
        <v>3</v>
      </c>
      <c r="J37" s="4">
        <v>5553.06</v>
      </c>
      <c r="K37" s="4">
        <v>2256.86</v>
      </c>
    </row>
    <row r="38" spans="1:11" x14ac:dyDescent="0.4">
      <c r="A38" s="4" t="s">
        <v>18</v>
      </c>
      <c r="B38" s="4" t="s">
        <v>49</v>
      </c>
      <c r="C38" s="4" t="s">
        <v>10</v>
      </c>
      <c r="D38" s="4" t="str">
        <f>VLOOKUP(data[[#This Row],[Category]],Category.,2,0)</f>
        <v>Electr.</v>
      </c>
      <c r="E38" s="4" t="s">
        <v>47</v>
      </c>
      <c r="F38" s="4" t="str">
        <f>VLOOKUP(data[[#This Row],[Product]],Product.,2,0)</f>
        <v>Head.</v>
      </c>
      <c r="G38" s="4" t="s">
        <v>48</v>
      </c>
      <c r="H38" s="4" t="str">
        <f>VLOOKUP(data[[#This Row],[State]],State.,2,0)</f>
        <v>PN</v>
      </c>
      <c r="I38" s="4">
        <v>4</v>
      </c>
      <c r="J38" s="4">
        <v>7640.85</v>
      </c>
      <c r="K38" s="4">
        <v>4524.8599999999997</v>
      </c>
    </row>
    <row r="39" spans="1:11" x14ac:dyDescent="0.4">
      <c r="A39" s="4" t="s">
        <v>29</v>
      </c>
      <c r="B39" s="4" t="s">
        <v>19</v>
      </c>
      <c r="C39" s="4" t="s">
        <v>10</v>
      </c>
      <c r="D39" s="4" t="str">
        <f>VLOOKUP(data[[#This Row],[Category]],Category.,2,0)</f>
        <v>Electr.</v>
      </c>
      <c r="E39" s="4" t="s">
        <v>47</v>
      </c>
      <c r="F39" s="4" t="str">
        <f>VLOOKUP(data[[#This Row],[Product]],Product.,2,0)</f>
        <v>Head.</v>
      </c>
      <c r="G39" s="4" t="s">
        <v>48</v>
      </c>
      <c r="H39" s="4" t="str">
        <f>VLOOKUP(data[[#This Row],[State]],State.,2,0)</f>
        <v>PN</v>
      </c>
      <c r="I39" s="4">
        <v>1</v>
      </c>
      <c r="J39" s="4">
        <v>3304.9</v>
      </c>
      <c r="K39" s="4">
        <v>1529.44</v>
      </c>
    </row>
    <row r="40" spans="1:11" x14ac:dyDescent="0.4">
      <c r="A40" s="4" t="s">
        <v>26</v>
      </c>
      <c r="B40" s="4" t="s">
        <v>49</v>
      </c>
      <c r="C40" s="4" t="s">
        <v>35</v>
      </c>
      <c r="D40" s="4" t="str">
        <f>VLOOKUP(data[[#This Row],[Category]],Category.,2,0)</f>
        <v>Ho. Ap.</v>
      </c>
      <c r="E40" s="4" t="s">
        <v>36</v>
      </c>
      <c r="F40" s="4" t="str">
        <f>VLOOKUP(data[[#This Row],[Product]],Product.,2,0)</f>
        <v>Micr.</v>
      </c>
      <c r="G40" s="4" t="s">
        <v>17</v>
      </c>
      <c r="H40" s="4" t="str">
        <f>VLOOKUP(data[[#This Row],[State]],State.,2,0)</f>
        <v>TX</v>
      </c>
      <c r="I40" s="4">
        <v>3</v>
      </c>
      <c r="J40" s="4">
        <v>6488.17</v>
      </c>
      <c r="K40" s="4">
        <v>3978.21</v>
      </c>
    </row>
    <row r="41" spans="1:11" x14ac:dyDescent="0.4">
      <c r="A41" s="4" t="s">
        <v>55</v>
      </c>
      <c r="B41" s="4" t="s">
        <v>39</v>
      </c>
      <c r="C41" s="4" t="s">
        <v>10</v>
      </c>
      <c r="D41" s="4" t="str">
        <f>VLOOKUP(data[[#This Row],[Category]],Category.,2,0)</f>
        <v>Electr.</v>
      </c>
      <c r="E41" s="4" t="s">
        <v>54</v>
      </c>
      <c r="F41" s="4" t="str">
        <f>VLOOKUP(data[[#This Row],[Product]],Product.,2,0)</f>
        <v>Lapt.</v>
      </c>
      <c r="G41" s="4" t="s">
        <v>48</v>
      </c>
      <c r="H41" s="4" t="str">
        <f>VLOOKUP(data[[#This Row],[State]],State.,2,0)</f>
        <v>PN</v>
      </c>
      <c r="I41" s="4">
        <v>5</v>
      </c>
      <c r="J41" s="4">
        <v>9839.82</v>
      </c>
      <c r="K41" s="4">
        <v>3939.1</v>
      </c>
    </row>
    <row r="42" spans="1:11" x14ac:dyDescent="0.4">
      <c r="A42" s="4" t="s">
        <v>23</v>
      </c>
      <c r="B42" s="4" t="s">
        <v>30</v>
      </c>
      <c r="C42" s="4" t="s">
        <v>15</v>
      </c>
      <c r="D42" s="4" t="str">
        <f>VLOOKUP(data[[#This Row],[Category]],Category.,2,0)</f>
        <v>Cloth.</v>
      </c>
      <c r="E42" s="4" t="s">
        <v>16</v>
      </c>
      <c r="F42" s="4" t="str">
        <f>VLOOKUP(data[[#This Row],[Product]],Product.,2,0)</f>
        <v>Jean.</v>
      </c>
      <c r="G42" s="4" t="s">
        <v>17</v>
      </c>
      <c r="H42" s="4" t="str">
        <f>VLOOKUP(data[[#This Row],[State]],State.,2,0)</f>
        <v>TX</v>
      </c>
      <c r="I42" s="4">
        <v>1</v>
      </c>
      <c r="J42" s="4">
        <v>3712.82</v>
      </c>
      <c r="K42" s="4">
        <v>3263.23</v>
      </c>
    </row>
    <row r="43" spans="1:11" x14ac:dyDescent="0.4">
      <c r="A43" s="4" t="s">
        <v>38</v>
      </c>
      <c r="B43" s="4" t="s">
        <v>39</v>
      </c>
      <c r="C43" s="4" t="s">
        <v>20</v>
      </c>
      <c r="D43" s="4" t="str">
        <f>VLOOKUP(data[[#This Row],[Category]],Category.,2,0)</f>
        <v>Sp. &amp; Fi.</v>
      </c>
      <c r="E43" s="4" t="s">
        <v>42</v>
      </c>
      <c r="F43" s="4" t="str">
        <f>VLOOKUP(data[[#This Row],[Product]],Product.,2,0)</f>
        <v>Dumb.</v>
      </c>
      <c r="G43" s="4" t="s">
        <v>12</v>
      </c>
      <c r="H43" s="4" t="str">
        <f>VLOOKUP(data[[#This Row],[State]],State.,2,0)</f>
        <v>CL</v>
      </c>
      <c r="I43" s="4">
        <v>1</v>
      </c>
      <c r="J43" s="4">
        <v>6866.73</v>
      </c>
      <c r="K43" s="4">
        <v>4423.2700000000004</v>
      </c>
    </row>
    <row r="44" spans="1:11" x14ac:dyDescent="0.4">
      <c r="A44" s="4" t="s">
        <v>29</v>
      </c>
      <c r="B44" s="4" t="s">
        <v>49</v>
      </c>
      <c r="C44" s="4" t="s">
        <v>24</v>
      </c>
      <c r="D44" s="4" t="str">
        <f>VLOOKUP(data[[#This Row],[Category]],Category.,2,0)</f>
        <v>Fo. &amp; Be.</v>
      </c>
      <c r="E44" s="4" t="s">
        <v>31</v>
      </c>
      <c r="F44" s="4" t="str">
        <f>VLOOKUP(data[[#This Row],[Product]],Product.,2,0)</f>
        <v>Juic.</v>
      </c>
      <c r="G44" s="4" t="s">
        <v>12</v>
      </c>
      <c r="H44" s="4" t="str">
        <f>VLOOKUP(data[[#This Row],[State]],State.,2,0)</f>
        <v>CL</v>
      </c>
      <c r="I44" s="4">
        <v>5</v>
      </c>
      <c r="J44" s="4">
        <v>6460.53</v>
      </c>
      <c r="K44" s="4">
        <v>745.41</v>
      </c>
    </row>
    <row r="45" spans="1:11" x14ac:dyDescent="0.4">
      <c r="A45" s="4" t="s">
        <v>8</v>
      </c>
      <c r="B45" s="4" t="s">
        <v>19</v>
      </c>
      <c r="C45" s="4" t="s">
        <v>10</v>
      </c>
      <c r="D45" s="4" t="str">
        <f>VLOOKUP(data[[#This Row],[Category]],Category.,2,0)</f>
        <v>Electr.</v>
      </c>
      <c r="E45" s="4" t="s">
        <v>54</v>
      </c>
      <c r="F45" s="4" t="str">
        <f>VLOOKUP(data[[#This Row],[Product]],Product.,2,0)</f>
        <v>Lapt.</v>
      </c>
      <c r="G45" s="4" t="s">
        <v>22</v>
      </c>
      <c r="H45" s="4" t="str">
        <f>VLOOKUP(data[[#This Row],[State]],State.,2,0)</f>
        <v>NY</v>
      </c>
      <c r="I45" s="4">
        <v>3</v>
      </c>
      <c r="J45" s="4">
        <v>9990.16</v>
      </c>
      <c r="K45" s="4">
        <v>7152.55</v>
      </c>
    </row>
    <row r="46" spans="1:11" x14ac:dyDescent="0.4">
      <c r="A46" s="4" t="s">
        <v>26</v>
      </c>
      <c r="B46" s="4" t="s">
        <v>30</v>
      </c>
      <c r="C46" s="4" t="s">
        <v>15</v>
      </c>
      <c r="D46" s="4" t="str">
        <f>VLOOKUP(data[[#This Row],[Category]],Category.,2,0)</f>
        <v>Cloth.</v>
      </c>
      <c r="E46" s="4" t="s">
        <v>46</v>
      </c>
      <c r="F46" s="4" t="str">
        <f>VLOOKUP(data[[#This Row],[Product]],Product.,2,0)</f>
        <v>Swea.</v>
      </c>
      <c r="G46" s="4" t="s">
        <v>12</v>
      </c>
      <c r="H46" s="4" t="str">
        <f>VLOOKUP(data[[#This Row],[State]],State.,2,0)</f>
        <v>CL</v>
      </c>
      <c r="I46" s="4">
        <v>1</v>
      </c>
      <c r="J46" s="4">
        <v>5484.24</v>
      </c>
      <c r="K46" s="4">
        <v>1310.53</v>
      </c>
    </row>
    <row r="47" spans="1:11" x14ac:dyDescent="0.4">
      <c r="A47" s="4" t="s">
        <v>38</v>
      </c>
      <c r="B47" s="4" t="s">
        <v>32</v>
      </c>
      <c r="C47" s="4" t="s">
        <v>35</v>
      </c>
      <c r="D47" s="4" t="str">
        <f>VLOOKUP(data[[#This Row],[Category]],Category.,2,0)</f>
        <v>Ho. Ap.</v>
      </c>
      <c r="E47" s="4" t="s">
        <v>50</v>
      </c>
      <c r="F47" s="4" t="str">
        <f>VLOOKUP(data[[#This Row],[Product]],Product.,2,0)</f>
        <v>Refr.</v>
      </c>
      <c r="G47" s="4" t="s">
        <v>48</v>
      </c>
      <c r="H47" s="4" t="str">
        <f>VLOOKUP(data[[#This Row],[State]],State.,2,0)</f>
        <v>PN</v>
      </c>
      <c r="I47" s="4">
        <v>2</v>
      </c>
      <c r="J47" s="4">
        <v>2308.25</v>
      </c>
      <c r="K47" s="4">
        <v>1842.98</v>
      </c>
    </row>
    <row r="48" spans="1:11" x14ac:dyDescent="0.4">
      <c r="A48" s="4" t="s">
        <v>13</v>
      </c>
      <c r="B48" s="4" t="s">
        <v>39</v>
      </c>
      <c r="C48" s="4" t="s">
        <v>35</v>
      </c>
      <c r="D48" s="4" t="str">
        <f>VLOOKUP(data[[#This Row],[Category]],Category.,2,0)</f>
        <v>Ho. Ap.</v>
      </c>
      <c r="E48" s="4" t="s">
        <v>44</v>
      </c>
      <c r="F48" s="4" t="str">
        <f>VLOOKUP(data[[#This Row],[Product]],Product.,2,0)</f>
        <v>Dish.</v>
      </c>
      <c r="G48" s="4" t="s">
        <v>22</v>
      </c>
      <c r="H48" s="4" t="str">
        <f>VLOOKUP(data[[#This Row],[State]],State.,2,0)</f>
        <v>NY</v>
      </c>
      <c r="I48" s="4">
        <v>4</v>
      </c>
      <c r="J48" s="4">
        <v>2676.37</v>
      </c>
      <c r="K48" s="4">
        <v>1010.73</v>
      </c>
    </row>
    <row r="49" spans="1:11" x14ac:dyDescent="0.4">
      <c r="A49" s="4" t="s">
        <v>41</v>
      </c>
      <c r="B49" s="4" t="s">
        <v>49</v>
      </c>
      <c r="C49" s="4" t="s">
        <v>20</v>
      </c>
      <c r="D49" s="4" t="str">
        <f>VLOOKUP(data[[#This Row],[Category]],Category.,2,0)</f>
        <v>Sp. &amp; Fi.</v>
      </c>
      <c r="E49" s="4" t="s">
        <v>21</v>
      </c>
      <c r="F49" s="4" t="str">
        <f>VLOOKUP(data[[#This Row],[Product]],Product.,2,0)</f>
        <v>Yoga.</v>
      </c>
      <c r="G49" s="4" t="s">
        <v>48</v>
      </c>
      <c r="H49" s="4" t="str">
        <f>VLOOKUP(data[[#This Row],[State]],State.,2,0)</f>
        <v>PN</v>
      </c>
      <c r="I49" s="4">
        <v>2</v>
      </c>
      <c r="J49" s="4">
        <v>7227.06</v>
      </c>
      <c r="K49" s="4">
        <v>5149.08</v>
      </c>
    </row>
    <row r="50" spans="1:11" x14ac:dyDescent="0.4">
      <c r="A50" s="4" t="s">
        <v>37</v>
      </c>
      <c r="B50" s="4" t="s">
        <v>32</v>
      </c>
      <c r="C50" s="4" t="s">
        <v>35</v>
      </c>
      <c r="D50" s="4" t="str">
        <f>VLOOKUP(data[[#This Row],[Category]],Category.,2,0)</f>
        <v>Ho. Ap.</v>
      </c>
      <c r="E50" s="4" t="s">
        <v>50</v>
      </c>
      <c r="F50" s="4" t="str">
        <f>VLOOKUP(data[[#This Row],[Product]],Product.,2,0)</f>
        <v>Refr.</v>
      </c>
      <c r="G50" s="4" t="s">
        <v>28</v>
      </c>
      <c r="H50" s="4" t="str">
        <f>VLOOKUP(data[[#This Row],[State]],State.,2,0)</f>
        <v>FL</v>
      </c>
      <c r="I50" s="4">
        <v>4</v>
      </c>
      <c r="J50" s="4">
        <v>5372.31</v>
      </c>
      <c r="K50" s="4">
        <v>4233.07</v>
      </c>
    </row>
    <row r="51" spans="1:11" x14ac:dyDescent="0.4">
      <c r="A51" s="4" t="s">
        <v>37</v>
      </c>
      <c r="B51" s="4" t="s">
        <v>39</v>
      </c>
      <c r="C51" s="4" t="s">
        <v>35</v>
      </c>
      <c r="D51" s="4" t="str">
        <f>VLOOKUP(data[[#This Row],[Category]],Category.,2,0)</f>
        <v>Ho. Ap.</v>
      </c>
      <c r="E51" s="4" t="s">
        <v>36</v>
      </c>
      <c r="F51" s="4" t="str">
        <f>VLOOKUP(data[[#This Row],[Product]],Product.,2,0)</f>
        <v>Micr.</v>
      </c>
      <c r="G51" s="4" t="s">
        <v>22</v>
      </c>
      <c r="H51" s="4" t="str">
        <f>VLOOKUP(data[[#This Row],[State]],State.,2,0)</f>
        <v>NY</v>
      </c>
      <c r="I51" s="4">
        <v>5</v>
      </c>
      <c r="J51" s="4">
        <v>8701.17</v>
      </c>
      <c r="K51" s="4">
        <v>4410.42</v>
      </c>
    </row>
    <row r="52" spans="1:11" x14ac:dyDescent="0.4">
      <c r="A52" s="4" t="s">
        <v>18</v>
      </c>
      <c r="B52" s="4" t="s">
        <v>49</v>
      </c>
      <c r="C52" s="4" t="s">
        <v>20</v>
      </c>
      <c r="D52" s="4" t="str">
        <f>VLOOKUP(data[[#This Row],[Category]],Category.,2,0)</f>
        <v>Sp. &amp; Fi.</v>
      </c>
      <c r="E52" s="4" t="s">
        <v>53</v>
      </c>
      <c r="F52" s="4" t="str">
        <f>VLOOKUP(data[[#This Row],[Product]],Product.,2,0)</f>
        <v>Trea.</v>
      </c>
      <c r="G52" s="4" t="s">
        <v>48</v>
      </c>
      <c r="H52" s="4" t="str">
        <f>VLOOKUP(data[[#This Row],[State]],State.,2,0)</f>
        <v>PN</v>
      </c>
      <c r="I52" s="4">
        <v>3</v>
      </c>
      <c r="J52" s="4">
        <v>3021.68</v>
      </c>
      <c r="K52" s="4">
        <v>655.8</v>
      </c>
    </row>
    <row r="53" spans="1:11" x14ac:dyDescent="0.4">
      <c r="A53" s="4" t="s">
        <v>26</v>
      </c>
      <c r="B53" s="4" t="s">
        <v>32</v>
      </c>
      <c r="C53" s="4" t="s">
        <v>35</v>
      </c>
      <c r="D53" s="4" t="str">
        <f>VLOOKUP(data[[#This Row],[Category]],Category.,2,0)</f>
        <v>Ho. Ap.</v>
      </c>
      <c r="E53" s="4" t="s">
        <v>50</v>
      </c>
      <c r="F53" s="4" t="str">
        <f>VLOOKUP(data[[#This Row],[Product]],Product.,2,0)</f>
        <v>Refr.</v>
      </c>
      <c r="G53" s="4" t="s">
        <v>48</v>
      </c>
      <c r="H53" s="4" t="str">
        <f>VLOOKUP(data[[#This Row],[State]],State.,2,0)</f>
        <v>PN</v>
      </c>
      <c r="I53" s="4">
        <v>2</v>
      </c>
      <c r="J53" s="4">
        <v>8956.6299999999992</v>
      </c>
      <c r="K53" s="4">
        <v>4038.86</v>
      </c>
    </row>
    <row r="54" spans="1:11" x14ac:dyDescent="0.4">
      <c r="A54" s="4" t="s">
        <v>38</v>
      </c>
      <c r="B54" s="4" t="s">
        <v>39</v>
      </c>
      <c r="C54" s="4" t="s">
        <v>15</v>
      </c>
      <c r="D54" s="4" t="str">
        <f>VLOOKUP(data[[#This Row],[Category]],Category.,2,0)</f>
        <v>Cloth.</v>
      </c>
      <c r="E54" s="4" t="s">
        <v>43</v>
      </c>
      <c r="F54" s="4" t="str">
        <f>VLOOKUP(data[[#This Row],[Product]],Product.,2,0)</f>
        <v>T-Sh.</v>
      </c>
      <c r="G54" s="4" t="s">
        <v>12</v>
      </c>
      <c r="H54" s="4" t="str">
        <f>VLOOKUP(data[[#This Row],[State]],State.,2,0)</f>
        <v>CL</v>
      </c>
      <c r="I54" s="4">
        <v>2</v>
      </c>
      <c r="J54" s="4">
        <v>3598.37</v>
      </c>
      <c r="K54" s="4">
        <v>2396.0500000000002</v>
      </c>
    </row>
    <row r="55" spans="1:11" x14ac:dyDescent="0.4">
      <c r="A55" s="4" t="s">
        <v>55</v>
      </c>
      <c r="B55" s="4" t="s">
        <v>14</v>
      </c>
      <c r="C55" s="4" t="s">
        <v>20</v>
      </c>
      <c r="D55" s="4" t="str">
        <f>VLOOKUP(data[[#This Row],[Category]],Category.,2,0)</f>
        <v>Sp. &amp; Fi.</v>
      </c>
      <c r="E55" s="4" t="s">
        <v>42</v>
      </c>
      <c r="F55" s="4" t="str">
        <f>VLOOKUP(data[[#This Row],[Product]],Product.,2,0)</f>
        <v>Dumb.</v>
      </c>
      <c r="G55" s="4" t="s">
        <v>48</v>
      </c>
      <c r="H55" s="4" t="str">
        <f>VLOOKUP(data[[#This Row],[State]],State.,2,0)</f>
        <v>PN</v>
      </c>
      <c r="I55" s="4">
        <v>5</v>
      </c>
      <c r="J55" s="4">
        <v>2727.34</v>
      </c>
      <c r="K55" s="4">
        <v>1513.75</v>
      </c>
    </row>
    <row r="56" spans="1:11" x14ac:dyDescent="0.4">
      <c r="A56" s="4" t="s">
        <v>29</v>
      </c>
      <c r="B56" s="4" t="s">
        <v>9</v>
      </c>
      <c r="C56" s="4" t="s">
        <v>24</v>
      </c>
      <c r="D56" s="4" t="str">
        <f>VLOOKUP(data[[#This Row],[Category]],Category.,2,0)</f>
        <v>Fo. &amp; Be.</v>
      </c>
      <c r="E56" s="4" t="s">
        <v>56</v>
      </c>
      <c r="F56" s="4" t="str">
        <f>VLOOKUP(data[[#This Row],[Product]],Product.,2,0)</f>
        <v>Coff.</v>
      </c>
      <c r="G56" s="4" t="s">
        <v>12</v>
      </c>
      <c r="H56" s="4" t="str">
        <f>VLOOKUP(data[[#This Row],[State]],State.,2,0)</f>
        <v>CL</v>
      </c>
      <c r="I56" s="4">
        <v>2</v>
      </c>
      <c r="J56" s="4">
        <v>9937.5499999999993</v>
      </c>
      <c r="K56" s="4">
        <v>7188.04</v>
      </c>
    </row>
    <row r="57" spans="1:11" x14ac:dyDescent="0.4">
      <c r="A57" s="4" t="s">
        <v>13</v>
      </c>
      <c r="B57" s="4" t="s">
        <v>30</v>
      </c>
      <c r="C57" s="4" t="s">
        <v>15</v>
      </c>
      <c r="D57" s="4" t="str">
        <f>VLOOKUP(data[[#This Row],[Category]],Category.,2,0)</f>
        <v>Cloth.</v>
      </c>
      <c r="E57" s="4" t="s">
        <v>16</v>
      </c>
      <c r="F57" s="4" t="str">
        <f>VLOOKUP(data[[#This Row],[Product]],Product.,2,0)</f>
        <v>Jean.</v>
      </c>
      <c r="G57" s="4" t="s">
        <v>12</v>
      </c>
      <c r="H57" s="4" t="str">
        <f>VLOOKUP(data[[#This Row],[State]],State.,2,0)</f>
        <v>CL</v>
      </c>
      <c r="I57" s="4">
        <v>3</v>
      </c>
      <c r="J57" s="4">
        <v>5381.29</v>
      </c>
      <c r="K57" s="4">
        <v>1610.64</v>
      </c>
    </row>
    <row r="58" spans="1:11" x14ac:dyDescent="0.4">
      <c r="A58" s="4" t="s">
        <v>40</v>
      </c>
      <c r="B58" s="4" t="s">
        <v>14</v>
      </c>
      <c r="C58" s="4" t="s">
        <v>35</v>
      </c>
      <c r="D58" s="4" t="str">
        <f>VLOOKUP(data[[#This Row],[Category]],Category.,2,0)</f>
        <v>Ho. Ap.</v>
      </c>
      <c r="E58" s="4" t="s">
        <v>36</v>
      </c>
      <c r="F58" s="4" t="str">
        <f>VLOOKUP(data[[#This Row],[Product]],Product.,2,0)</f>
        <v>Micr.</v>
      </c>
      <c r="G58" s="4" t="s">
        <v>12</v>
      </c>
      <c r="H58" s="4" t="str">
        <f>VLOOKUP(data[[#This Row],[State]],State.,2,0)</f>
        <v>CL</v>
      </c>
      <c r="I58" s="4">
        <v>2</v>
      </c>
      <c r="J58" s="4">
        <v>9712.16</v>
      </c>
      <c r="K58" s="4">
        <v>6861.75</v>
      </c>
    </row>
    <row r="59" spans="1:11" x14ac:dyDescent="0.4">
      <c r="A59" s="4" t="s">
        <v>37</v>
      </c>
      <c r="B59" s="4" t="s">
        <v>30</v>
      </c>
      <c r="C59" s="4" t="s">
        <v>35</v>
      </c>
      <c r="D59" s="4" t="str">
        <f>VLOOKUP(data[[#This Row],[Category]],Category.,2,0)</f>
        <v>Ho. Ap.</v>
      </c>
      <c r="E59" s="4" t="s">
        <v>36</v>
      </c>
      <c r="F59" s="4" t="str">
        <f>VLOOKUP(data[[#This Row],[Product]],Product.,2,0)</f>
        <v>Micr.</v>
      </c>
      <c r="G59" s="4" t="s">
        <v>17</v>
      </c>
      <c r="H59" s="4" t="str">
        <f>VLOOKUP(data[[#This Row],[State]],State.,2,0)</f>
        <v>TX</v>
      </c>
      <c r="I59" s="4">
        <v>3</v>
      </c>
      <c r="J59" s="4">
        <v>9104.2900000000009</v>
      </c>
      <c r="K59" s="4">
        <v>4342.49</v>
      </c>
    </row>
    <row r="60" spans="1:11" x14ac:dyDescent="0.4">
      <c r="A60" s="4" t="s">
        <v>26</v>
      </c>
      <c r="B60" s="4" t="s">
        <v>9</v>
      </c>
      <c r="C60" s="4" t="s">
        <v>15</v>
      </c>
      <c r="D60" s="4" t="str">
        <f>VLOOKUP(data[[#This Row],[Category]],Category.,2,0)</f>
        <v>Cloth.</v>
      </c>
      <c r="E60" s="4" t="s">
        <v>46</v>
      </c>
      <c r="F60" s="4" t="str">
        <f>VLOOKUP(data[[#This Row],[Product]],Product.,2,0)</f>
        <v>Swea.</v>
      </c>
      <c r="G60" s="4" t="s">
        <v>12</v>
      </c>
      <c r="H60" s="4" t="str">
        <f>VLOOKUP(data[[#This Row],[State]],State.,2,0)</f>
        <v>CL</v>
      </c>
      <c r="I60" s="4">
        <v>3</v>
      </c>
      <c r="J60" s="4">
        <v>612.22</v>
      </c>
      <c r="K60" s="4">
        <v>81.2</v>
      </c>
    </row>
    <row r="61" spans="1:11" x14ac:dyDescent="0.4">
      <c r="A61" s="4" t="s">
        <v>38</v>
      </c>
      <c r="B61" s="4" t="s">
        <v>14</v>
      </c>
      <c r="C61" s="4" t="s">
        <v>24</v>
      </c>
      <c r="D61" s="4" t="str">
        <f>VLOOKUP(data[[#This Row],[Category]],Category.,2,0)</f>
        <v>Fo. &amp; Be.</v>
      </c>
      <c r="E61" s="4" t="s">
        <v>25</v>
      </c>
      <c r="F61" s="4" t="str">
        <f>VLOOKUP(data[[#This Row],[Product]],Product.,2,0)</f>
        <v>Snac.</v>
      </c>
      <c r="G61" s="4" t="s">
        <v>12</v>
      </c>
      <c r="H61" s="4" t="str">
        <f>VLOOKUP(data[[#This Row],[State]],State.,2,0)</f>
        <v>CL</v>
      </c>
      <c r="I61" s="4">
        <v>5</v>
      </c>
      <c r="J61" s="4">
        <v>1254.8</v>
      </c>
      <c r="K61" s="4">
        <v>348.34</v>
      </c>
    </row>
    <row r="62" spans="1:11" x14ac:dyDescent="0.4">
      <c r="A62" s="4" t="s">
        <v>18</v>
      </c>
      <c r="B62" s="4" t="s">
        <v>9</v>
      </c>
      <c r="C62" s="4" t="s">
        <v>35</v>
      </c>
      <c r="D62" s="4" t="str">
        <f>VLOOKUP(data[[#This Row],[Category]],Category.,2,0)</f>
        <v>Ho. Ap.</v>
      </c>
      <c r="E62" s="4" t="s">
        <v>44</v>
      </c>
      <c r="F62" s="4" t="str">
        <f>VLOOKUP(data[[#This Row],[Product]],Product.,2,0)</f>
        <v>Dish.</v>
      </c>
      <c r="G62" s="4" t="s">
        <v>22</v>
      </c>
      <c r="H62" s="4" t="str">
        <f>VLOOKUP(data[[#This Row],[State]],State.,2,0)</f>
        <v>NY</v>
      </c>
      <c r="I62" s="4">
        <v>4</v>
      </c>
      <c r="J62" s="4">
        <v>7302.14</v>
      </c>
      <c r="K62" s="4">
        <v>212.01</v>
      </c>
    </row>
    <row r="63" spans="1:11" x14ac:dyDescent="0.4">
      <c r="A63" s="4" t="s">
        <v>55</v>
      </c>
      <c r="B63" s="4" t="s">
        <v>32</v>
      </c>
      <c r="C63" s="4" t="s">
        <v>35</v>
      </c>
      <c r="D63" s="4" t="str">
        <f>VLOOKUP(data[[#This Row],[Category]],Category.,2,0)</f>
        <v>Ho. Ap.</v>
      </c>
      <c r="E63" s="4" t="s">
        <v>36</v>
      </c>
      <c r="F63" s="4" t="str">
        <f>VLOOKUP(data[[#This Row],[Product]],Product.,2,0)</f>
        <v>Micr.</v>
      </c>
      <c r="G63" s="4" t="s">
        <v>34</v>
      </c>
      <c r="H63" s="4" t="str">
        <f>VLOOKUP(data[[#This Row],[State]],State.,2,0)</f>
        <v>IL</v>
      </c>
      <c r="I63" s="4">
        <v>4</v>
      </c>
      <c r="J63" s="4">
        <v>7622.37</v>
      </c>
      <c r="K63" s="4">
        <v>4974.68</v>
      </c>
    </row>
    <row r="64" spans="1:11" x14ac:dyDescent="0.4">
      <c r="A64" s="4" t="s">
        <v>8</v>
      </c>
      <c r="B64" s="4" t="s">
        <v>32</v>
      </c>
      <c r="C64" s="4" t="s">
        <v>20</v>
      </c>
      <c r="D64" s="4" t="str">
        <f>VLOOKUP(data[[#This Row],[Category]],Category.,2,0)</f>
        <v>Sp. &amp; Fi.</v>
      </c>
      <c r="E64" s="4" t="s">
        <v>42</v>
      </c>
      <c r="F64" s="4" t="str">
        <f>VLOOKUP(data[[#This Row],[Product]],Product.,2,0)</f>
        <v>Dumb.</v>
      </c>
      <c r="G64" s="4" t="s">
        <v>48</v>
      </c>
      <c r="H64" s="4" t="str">
        <f>VLOOKUP(data[[#This Row],[State]],State.,2,0)</f>
        <v>PN</v>
      </c>
      <c r="I64" s="4">
        <v>2</v>
      </c>
      <c r="J64" s="4">
        <v>2560.33</v>
      </c>
      <c r="K64" s="4">
        <v>1580.31</v>
      </c>
    </row>
    <row r="65" spans="1:11" x14ac:dyDescent="0.4">
      <c r="A65" s="4" t="s">
        <v>8</v>
      </c>
      <c r="B65" s="4" t="s">
        <v>9</v>
      </c>
      <c r="C65" s="4" t="s">
        <v>24</v>
      </c>
      <c r="D65" s="4" t="str">
        <f>VLOOKUP(data[[#This Row],[Category]],Category.,2,0)</f>
        <v>Fo. &amp; Be.</v>
      </c>
      <c r="E65" s="4" t="s">
        <v>25</v>
      </c>
      <c r="F65" s="4" t="str">
        <f>VLOOKUP(data[[#This Row],[Product]],Product.,2,0)</f>
        <v>Snac.</v>
      </c>
      <c r="G65" s="4" t="s">
        <v>12</v>
      </c>
      <c r="H65" s="4" t="str">
        <f>VLOOKUP(data[[#This Row],[State]],State.,2,0)</f>
        <v>CL</v>
      </c>
      <c r="I65" s="4">
        <v>4</v>
      </c>
      <c r="J65" s="4">
        <v>2340.3000000000002</v>
      </c>
      <c r="K65" s="4">
        <v>297.27</v>
      </c>
    </row>
    <row r="66" spans="1:11" x14ac:dyDescent="0.4">
      <c r="A66" s="4" t="s">
        <v>29</v>
      </c>
      <c r="B66" s="4" t="s">
        <v>39</v>
      </c>
      <c r="C66" s="4" t="s">
        <v>15</v>
      </c>
      <c r="D66" s="4" t="str">
        <f>VLOOKUP(data[[#This Row],[Category]],Category.,2,0)</f>
        <v>Cloth.</v>
      </c>
      <c r="E66" s="4" t="s">
        <v>46</v>
      </c>
      <c r="F66" s="4" t="str">
        <f>VLOOKUP(data[[#This Row],[Product]],Product.,2,0)</f>
        <v>Swea.</v>
      </c>
      <c r="G66" s="4" t="s">
        <v>22</v>
      </c>
      <c r="H66" s="4" t="str">
        <f>VLOOKUP(data[[#This Row],[State]],State.,2,0)</f>
        <v>NY</v>
      </c>
      <c r="I66" s="4">
        <v>1</v>
      </c>
      <c r="J66" s="4">
        <v>8967.25</v>
      </c>
      <c r="K66" s="4">
        <v>1088.21</v>
      </c>
    </row>
    <row r="67" spans="1:11" x14ac:dyDescent="0.4">
      <c r="A67" s="4" t="s">
        <v>52</v>
      </c>
      <c r="B67" s="4" t="s">
        <v>39</v>
      </c>
      <c r="C67" s="4" t="s">
        <v>10</v>
      </c>
      <c r="D67" s="4" t="str">
        <f>VLOOKUP(data[[#This Row],[Category]],Category.,2,0)</f>
        <v>Electr.</v>
      </c>
      <c r="E67" s="4" t="s">
        <v>47</v>
      </c>
      <c r="F67" s="4" t="str">
        <f>VLOOKUP(data[[#This Row],[Product]],Product.,2,0)</f>
        <v>Head.</v>
      </c>
      <c r="G67" s="4" t="s">
        <v>22</v>
      </c>
      <c r="H67" s="4" t="str">
        <f>VLOOKUP(data[[#This Row],[State]],State.,2,0)</f>
        <v>NY</v>
      </c>
      <c r="I67" s="4">
        <v>4</v>
      </c>
      <c r="J67" s="4">
        <v>7815.24</v>
      </c>
      <c r="K67" s="4">
        <v>4640.09</v>
      </c>
    </row>
    <row r="68" spans="1:11" x14ac:dyDescent="0.4">
      <c r="A68" s="4" t="s">
        <v>52</v>
      </c>
      <c r="B68" s="4" t="s">
        <v>19</v>
      </c>
      <c r="C68" s="4" t="s">
        <v>15</v>
      </c>
      <c r="D68" s="4" t="str">
        <f>VLOOKUP(data[[#This Row],[Category]],Category.,2,0)</f>
        <v>Cloth.</v>
      </c>
      <c r="E68" s="4" t="s">
        <v>27</v>
      </c>
      <c r="F68" s="4" t="str">
        <f>VLOOKUP(data[[#This Row],[Product]],Product.,2,0)</f>
        <v>Jack.</v>
      </c>
      <c r="G68" s="4" t="s">
        <v>22</v>
      </c>
      <c r="H68" s="4" t="str">
        <f>VLOOKUP(data[[#This Row],[State]],State.,2,0)</f>
        <v>NY</v>
      </c>
      <c r="I68" s="4">
        <v>3</v>
      </c>
      <c r="J68" s="4">
        <v>1269.5999999999999</v>
      </c>
      <c r="K68" s="4">
        <v>1097.05</v>
      </c>
    </row>
    <row r="69" spans="1:11" x14ac:dyDescent="0.4">
      <c r="A69" s="4" t="s">
        <v>37</v>
      </c>
      <c r="B69" s="4" t="s">
        <v>32</v>
      </c>
      <c r="C69" s="4" t="s">
        <v>35</v>
      </c>
      <c r="D69" s="4" t="str">
        <f>VLOOKUP(data[[#This Row],[Category]],Category.,2,0)</f>
        <v>Ho. Ap.</v>
      </c>
      <c r="E69" s="4" t="s">
        <v>57</v>
      </c>
      <c r="F69" s="4" t="str">
        <f>VLOOKUP(data[[#This Row],[Product]],Product.,2,0)</f>
        <v>Toas.</v>
      </c>
      <c r="G69" s="4" t="s">
        <v>17</v>
      </c>
      <c r="H69" s="4" t="str">
        <f>VLOOKUP(data[[#This Row],[State]],State.,2,0)</f>
        <v>TX</v>
      </c>
      <c r="I69" s="4">
        <v>1</v>
      </c>
      <c r="J69" s="4">
        <v>6333.05</v>
      </c>
      <c r="K69" s="4">
        <v>4493.8100000000004</v>
      </c>
    </row>
    <row r="70" spans="1:11" x14ac:dyDescent="0.4">
      <c r="A70" s="4" t="s">
        <v>18</v>
      </c>
      <c r="B70" s="4" t="s">
        <v>14</v>
      </c>
      <c r="C70" s="4" t="s">
        <v>20</v>
      </c>
      <c r="D70" s="4" t="str">
        <f>VLOOKUP(data[[#This Row],[Category]],Category.,2,0)</f>
        <v>Sp. &amp; Fi.</v>
      </c>
      <c r="E70" s="4" t="s">
        <v>33</v>
      </c>
      <c r="F70" s="4" t="str">
        <f>VLOOKUP(data[[#This Row],[Product]],Product.,2,0)</f>
        <v>Bicy.</v>
      </c>
      <c r="G70" s="4" t="s">
        <v>22</v>
      </c>
      <c r="H70" s="4" t="str">
        <f>VLOOKUP(data[[#This Row],[State]],State.,2,0)</f>
        <v>NY</v>
      </c>
      <c r="I70" s="4">
        <v>2</v>
      </c>
      <c r="J70" s="4">
        <v>2894.66</v>
      </c>
      <c r="K70" s="4">
        <v>2417.04</v>
      </c>
    </row>
    <row r="71" spans="1:11" x14ac:dyDescent="0.4">
      <c r="A71" s="4" t="s">
        <v>18</v>
      </c>
      <c r="B71" s="4" t="s">
        <v>39</v>
      </c>
      <c r="C71" s="4" t="s">
        <v>15</v>
      </c>
      <c r="D71" s="4" t="str">
        <f>VLOOKUP(data[[#This Row],[Category]],Category.,2,0)</f>
        <v>Cloth.</v>
      </c>
      <c r="E71" s="4" t="s">
        <v>16</v>
      </c>
      <c r="F71" s="4" t="str">
        <f>VLOOKUP(data[[#This Row],[Product]],Product.,2,0)</f>
        <v>Jean.</v>
      </c>
      <c r="G71" s="4" t="s">
        <v>12</v>
      </c>
      <c r="H71" s="4" t="str">
        <f>VLOOKUP(data[[#This Row],[State]],State.,2,0)</f>
        <v>CL</v>
      </c>
      <c r="I71" s="4">
        <v>5</v>
      </c>
      <c r="J71" s="4">
        <v>6710.53</v>
      </c>
      <c r="K71" s="4">
        <v>4605.67</v>
      </c>
    </row>
    <row r="72" spans="1:11" x14ac:dyDescent="0.4">
      <c r="A72" s="4" t="s">
        <v>13</v>
      </c>
      <c r="B72" s="4" t="s">
        <v>32</v>
      </c>
      <c r="C72" s="4" t="s">
        <v>24</v>
      </c>
      <c r="D72" s="4" t="str">
        <f>VLOOKUP(data[[#This Row],[Category]],Category.,2,0)</f>
        <v>Fo. &amp; Be.</v>
      </c>
      <c r="E72" s="4" t="s">
        <v>31</v>
      </c>
      <c r="F72" s="4" t="str">
        <f>VLOOKUP(data[[#This Row],[Product]],Product.,2,0)</f>
        <v>Juic.</v>
      </c>
      <c r="G72" s="4" t="s">
        <v>48</v>
      </c>
      <c r="H72" s="4" t="str">
        <f>VLOOKUP(data[[#This Row],[State]],State.,2,0)</f>
        <v>PN</v>
      </c>
      <c r="I72" s="4">
        <v>5</v>
      </c>
      <c r="J72" s="4">
        <v>2832.91</v>
      </c>
      <c r="K72" s="4">
        <v>2464.64</v>
      </c>
    </row>
    <row r="73" spans="1:11" x14ac:dyDescent="0.4">
      <c r="A73" s="4" t="s">
        <v>37</v>
      </c>
      <c r="B73" s="4" t="s">
        <v>39</v>
      </c>
      <c r="C73" s="4" t="s">
        <v>24</v>
      </c>
      <c r="D73" s="4" t="str">
        <f>VLOOKUP(data[[#This Row],[Category]],Category.,2,0)</f>
        <v>Fo. &amp; Be.</v>
      </c>
      <c r="E73" s="4" t="s">
        <v>56</v>
      </c>
      <c r="F73" s="4" t="str">
        <f>VLOOKUP(data[[#This Row],[Product]],Product.,2,0)</f>
        <v>Coff.</v>
      </c>
      <c r="G73" s="4" t="s">
        <v>22</v>
      </c>
      <c r="H73" s="4" t="str">
        <f>VLOOKUP(data[[#This Row],[State]],State.,2,0)</f>
        <v>NY</v>
      </c>
      <c r="I73" s="4">
        <v>5</v>
      </c>
      <c r="J73" s="4">
        <v>3711.91</v>
      </c>
      <c r="K73" s="4">
        <v>911.44</v>
      </c>
    </row>
    <row r="74" spans="1:11" x14ac:dyDescent="0.4">
      <c r="A74" s="4" t="s">
        <v>40</v>
      </c>
      <c r="B74" s="4" t="s">
        <v>19</v>
      </c>
      <c r="C74" s="4" t="s">
        <v>20</v>
      </c>
      <c r="D74" s="4" t="str">
        <f>VLOOKUP(data[[#This Row],[Category]],Category.,2,0)</f>
        <v>Sp. &amp; Fi.</v>
      </c>
      <c r="E74" s="4" t="s">
        <v>33</v>
      </c>
      <c r="F74" s="4" t="str">
        <f>VLOOKUP(data[[#This Row],[Product]],Product.,2,0)</f>
        <v>Bicy.</v>
      </c>
      <c r="G74" s="4" t="s">
        <v>34</v>
      </c>
      <c r="H74" s="4" t="str">
        <f>VLOOKUP(data[[#This Row],[State]],State.,2,0)</f>
        <v>IL</v>
      </c>
      <c r="I74" s="4">
        <v>4</v>
      </c>
      <c r="J74" s="4">
        <v>5574.28</v>
      </c>
      <c r="K74" s="4">
        <v>697.25</v>
      </c>
    </row>
    <row r="75" spans="1:11" x14ac:dyDescent="0.4">
      <c r="A75" s="4" t="s">
        <v>41</v>
      </c>
      <c r="B75" s="4" t="s">
        <v>32</v>
      </c>
      <c r="C75" s="4" t="s">
        <v>15</v>
      </c>
      <c r="D75" s="4" t="str">
        <f>VLOOKUP(data[[#This Row],[Category]],Category.,2,0)</f>
        <v>Cloth.</v>
      </c>
      <c r="E75" s="4" t="s">
        <v>27</v>
      </c>
      <c r="F75" s="4" t="str">
        <f>VLOOKUP(data[[#This Row],[Product]],Product.,2,0)</f>
        <v>Jack.</v>
      </c>
      <c r="G75" s="4" t="s">
        <v>17</v>
      </c>
      <c r="H75" s="4" t="str">
        <f>VLOOKUP(data[[#This Row],[State]],State.,2,0)</f>
        <v>TX</v>
      </c>
      <c r="I75" s="4">
        <v>5</v>
      </c>
      <c r="J75" s="4">
        <v>5732.96</v>
      </c>
      <c r="K75" s="4">
        <v>195.59</v>
      </c>
    </row>
    <row r="76" spans="1:11" x14ac:dyDescent="0.4">
      <c r="A76" s="4" t="s">
        <v>13</v>
      </c>
      <c r="B76" s="4" t="s">
        <v>49</v>
      </c>
      <c r="C76" s="4" t="s">
        <v>35</v>
      </c>
      <c r="D76" s="4" t="str">
        <f>VLOOKUP(data[[#This Row],[Category]],Category.,2,0)</f>
        <v>Ho. Ap.</v>
      </c>
      <c r="E76" s="4" t="s">
        <v>36</v>
      </c>
      <c r="F76" s="4" t="str">
        <f>VLOOKUP(data[[#This Row],[Product]],Product.,2,0)</f>
        <v>Micr.</v>
      </c>
      <c r="G76" s="4" t="s">
        <v>12</v>
      </c>
      <c r="H76" s="4" t="str">
        <f>VLOOKUP(data[[#This Row],[State]],State.,2,0)</f>
        <v>CL</v>
      </c>
      <c r="I76" s="4">
        <v>5</v>
      </c>
      <c r="J76" s="4">
        <v>8381.41</v>
      </c>
      <c r="K76" s="4">
        <v>6322.48</v>
      </c>
    </row>
    <row r="77" spans="1:11" x14ac:dyDescent="0.4">
      <c r="A77" s="4" t="s">
        <v>37</v>
      </c>
      <c r="B77" s="4" t="s">
        <v>19</v>
      </c>
      <c r="C77" s="4" t="s">
        <v>15</v>
      </c>
      <c r="D77" s="4" t="str">
        <f>VLOOKUP(data[[#This Row],[Category]],Category.,2,0)</f>
        <v>Cloth.</v>
      </c>
      <c r="E77" s="4" t="s">
        <v>46</v>
      </c>
      <c r="F77" s="4" t="str">
        <f>VLOOKUP(data[[#This Row],[Product]],Product.,2,0)</f>
        <v>Swea.</v>
      </c>
      <c r="G77" s="4" t="s">
        <v>34</v>
      </c>
      <c r="H77" s="4" t="str">
        <f>VLOOKUP(data[[#This Row],[State]],State.,2,0)</f>
        <v>IL</v>
      </c>
      <c r="I77" s="4">
        <v>1</v>
      </c>
      <c r="J77" s="4">
        <v>6715.85</v>
      </c>
      <c r="K77" s="4">
        <v>5193.37</v>
      </c>
    </row>
    <row r="78" spans="1:11" x14ac:dyDescent="0.4">
      <c r="A78" s="4" t="s">
        <v>41</v>
      </c>
      <c r="B78" s="4" t="s">
        <v>39</v>
      </c>
      <c r="C78" s="4" t="s">
        <v>10</v>
      </c>
      <c r="D78" s="4" t="str">
        <f>VLOOKUP(data[[#This Row],[Category]],Category.,2,0)</f>
        <v>Electr.</v>
      </c>
      <c r="E78" s="4" t="s">
        <v>54</v>
      </c>
      <c r="F78" s="4" t="str">
        <f>VLOOKUP(data[[#This Row],[Product]],Product.,2,0)</f>
        <v>Lapt.</v>
      </c>
      <c r="G78" s="4" t="s">
        <v>28</v>
      </c>
      <c r="H78" s="4" t="str">
        <f>VLOOKUP(data[[#This Row],[State]],State.,2,0)</f>
        <v>FL</v>
      </c>
      <c r="I78" s="4">
        <v>1</v>
      </c>
      <c r="J78" s="4">
        <v>1999.52</v>
      </c>
      <c r="K78" s="4">
        <v>676.28</v>
      </c>
    </row>
    <row r="79" spans="1:11" x14ac:dyDescent="0.4">
      <c r="A79" s="4" t="s">
        <v>29</v>
      </c>
      <c r="B79" s="4" t="s">
        <v>14</v>
      </c>
      <c r="C79" s="4" t="s">
        <v>20</v>
      </c>
      <c r="D79" s="4" t="str">
        <f>VLOOKUP(data[[#This Row],[Category]],Category.,2,0)</f>
        <v>Sp. &amp; Fi.</v>
      </c>
      <c r="E79" s="4" t="s">
        <v>33</v>
      </c>
      <c r="F79" s="4" t="str">
        <f>VLOOKUP(data[[#This Row],[Product]],Product.,2,0)</f>
        <v>Bicy.</v>
      </c>
      <c r="G79" s="4" t="s">
        <v>22</v>
      </c>
      <c r="H79" s="4" t="str">
        <f>VLOOKUP(data[[#This Row],[State]],State.,2,0)</f>
        <v>NY</v>
      </c>
      <c r="I79" s="4">
        <v>4</v>
      </c>
      <c r="J79" s="4">
        <v>600.72</v>
      </c>
      <c r="K79" s="4">
        <v>139.96</v>
      </c>
    </row>
    <row r="80" spans="1:11" x14ac:dyDescent="0.4">
      <c r="A80" s="4" t="s">
        <v>8</v>
      </c>
      <c r="B80" s="4" t="s">
        <v>30</v>
      </c>
      <c r="C80" s="4" t="s">
        <v>15</v>
      </c>
      <c r="D80" s="4" t="str">
        <f>VLOOKUP(data[[#This Row],[Category]],Category.,2,0)</f>
        <v>Cloth.</v>
      </c>
      <c r="E80" s="4" t="s">
        <v>43</v>
      </c>
      <c r="F80" s="4" t="str">
        <f>VLOOKUP(data[[#This Row],[Product]],Product.,2,0)</f>
        <v>T-Sh.</v>
      </c>
      <c r="G80" s="4" t="s">
        <v>12</v>
      </c>
      <c r="H80" s="4" t="str">
        <f>VLOOKUP(data[[#This Row],[State]],State.,2,0)</f>
        <v>CL</v>
      </c>
      <c r="I80" s="4">
        <v>2</v>
      </c>
      <c r="J80" s="4">
        <v>2127.62</v>
      </c>
      <c r="K80" s="4">
        <v>31.04</v>
      </c>
    </row>
    <row r="81" spans="1:11" x14ac:dyDescent="0.4">
      <c r="A81" s="4" t="s">
        <v>26</v>
      </c>
      <c r="B81" s="4" t="s">
        <v>49</v>
      </c>
      <c r="C81" s="4" t="s">
        <v>15</v>
      </c>
      <c r="D81" s="4" t="str">
        <f>VLOOKUP(data[[#This Row],[Category]],Category.,2,0)</f>
        <v>Cloth.</v>
      </c>
      <c r="E81" s="4" t="s">
        <v>43</v>
      </c>
      <c r="F81" s="4" t="str">
        <f>VLOOKUP(data[[#This Row],[Product]],Product.,2,0)</f>
        <v>T-Sh.</v>
      </c>
      <c r="G81" s="4" t="s">
        <v>12</v>
      </c>
      <c r="H81" s="4" t="str">
        <f>VLOOKUP(data[[#This Row],[State]],State.,2,0)</f>
        <v>CL</v>
      </c>
      <c r="I81" s="4">
        <v>5</v>
      </c>
      <c r="J81" s="4">
        <v>3735.72</v>
      </c>
      <c r="K81" s="4">
        <v>2694.71</v>
      </c>
    </row>
    <row r="82" spans="1:11" x14ac:dyDescent="0.4">
      <c r="A82" s="4" t="s">
        <v>40</v>
      </c>
      <c r="B82" s="4" t="s">
        <v>49</v>
      </c>
      <c r="C82" s="4" t="s">
        <v>20</v>
      </c>
      <c r="D82" s="4" t="str">
        <f>VLOOKUP(data[[#This Row],[Category]],Category.,2,0)</f>
        <v>Sp. &amp; Fi.</v>
      </c>
      <c r="E82" s="4" t="s">
        <v>21</v>
      </c>
      <c r="F82" s="4" t="str">
        <f>VLOOKUP(data[[#This Row],[Product]],Product.,2,0)</f>
        <v>Yoga.</v>
      </c>
      <c r="G82" s="4" t="s">
        <v>22</v>
      </c>
      <c r="H82" s="4" t="str">
        <f>VLOOKUP(data[[#This Row],[State]],State.,2,0)</f>
        <v>NY</v>
      </c>
      <c r="I82" s="4">
        <v>4</v>
      </c>
      <c r="J82" s="4">
        <v>2856.86</v>
      </c>
      <c r="K82" s="4">
        <v>2120.92</v>
      </c>
    </row>
    <row r="83" spans="1:11" x14ac:dyDescent="0.4">
      <c r="A83" s="4" t="s">
        <v>23</v>
      </c>
      <c r="B83" s="4" t="s">
        <v>14</v>
      </c>
      <c r="C83" s="4" t="s">
        <v>35</v>
      </c>
      <c r="D83" s="4" t="str">
        <f>VLOOKUP(data[[#This Row],[Category]],Category.,2,0)</f>
        <v>Ho. Ap.</v>
      </c>
      <c r="E83" s="4" t="s">
        <v>36</v>
      </c>
      <c r="F83" s="4" t="str">
        <f>VLOOKUP(data[[#This Row],[Product]],Product.,2,0)</f>
        <v>Micr.</v>
      </c>
      <c r="G83" s="4" t="s">
        <v>48</v>
      </c>
      <c r="H83" s="4" t="str">
        <f>VLOOKUP(data[[#This Row],[State]],State.,2,0)</f>
        <v>PN</v>
      </c>
      <c r="I83" s="4">
        <v>5</v>
      </c>
      <c r="J83" s="4">
        <v>1342.77</v>
      </c>
      <c r="K83" s="4">
        <v>980.78</v>
      </c>
    </row>
    <row r="84" spans="1:11" x14ac:dyDescent="0.4">
      <c r="A84" s="4" t="s">
        <v>29</v>
      </c>
      <c r="B84" s="4" t="s">
        <v>49</v>
      </c>
      <c r="C84" s="4" t="s">
        <v>15</v>
      </c>
      <c r="D84" s="4" t="str">
        <f>VLOOKUP(data[[#This Row],[Category]],Category.,2,0)</f>
        <v>Cloth.</v>
      </c>
      <c r="E84" s="4" t="s">
        <v>16</v>
      </c>
      <c r="F84" s="4" t="str">
        <f>VLOOKUP(data[[#This Row],[Product]],Product.,2,0)</f>
        <v>Jean.</v>
      </c>
      <c r="G84" s="4" t="s">
        <v>17</v>
      </c>
      <c r="H84" s="4" t="str">
        <f>VLOOKUP(data[[#This Row],[State]],State.,2,0)</f>
        <v>TX</v>
      </c>
      <c r="I84" s="4">
        <v>5</v>
      </c>
      <c r="J84" s="4">
        <v>4869.2299999999996</v>
      </c>
      <c r="K84" s="4">
        <v>3917.47</v>
      </c>
    </row>
    <row r="85" spans="1:11" x14ac:dyDescent="0.4">
      <c r="A85" s="4" t="s">
        <v>55</v>
      </c>
      <c r="B85" s="4" t="s">
        <v>39</v>
      </c>
      <c r="C85" s="4" t="s">
        <v>20</v>
      </c>
      <c r="D85" s="4" t="str">
        <f>VLOOKUP(data[[#This Row],[Category]],Category.,2,0)</f>
        <v>Sp. &amp; Fi.</v>
      </c>
      <c r="E85" s="4" t="s">
        <v>33</v>
      </c>
      <c r="F85" s="4" t="str">
        <f>VLOOKUP(data[[#This Row],[Product]],Product.,2,0)</f>
        <v>Bicy.</v>
      </c>
      <c r="G85" s="4" t="s">
        <v>12</v>
      </c>
      <c r="H85" s="4" t="str">
        <f>VLOOKUP(data[[#This Row],[State]],State.,2,0)</f>
        <v>CL</v>
      </c>
      <c r="I85" s="4">
        <v>3</v>
      </c>
      <c r="J85" s="4">
        <v>5444.61</v>
      </c>
      <c r="K85" s="4">
        <v>1132.7</v>
      </c>
    </row>
    <row r="86" spans="1:11" x14ac:dyDescent="0.4">
      <c r="A86" s="4" t="s">
        <v>23</v>
      </c>
      <c r="B86" s="4" t="s">
        <v>19</v>
      </c>
      <c r="C86" s="4" t="s">
        <v>10</v>
      </c>
      <c r="D86" s="4" t="str">
        <f>VLOOKUP(data[[#This Row],[Category]],Category.,2,0)</f>
        <v>Electr.</v>
      </c>
      <c r="E86" s="4" t="s">
        <v>11</v>
      </c>
      <c r="F86" s="4" t="str">
        <f>VLOOKUP(data[[#This Row],[Product]],Product.,2,0)</f>
        <v>Smar.</v>
      </c>
      <c r="G86" s="4" t="s">
        <v>12</v>
      </c>
      <c r="H86" s="4" t="str">
        <f>VLOOKUP(data[[#This Row],[State]],State.,2,0)</f>
        <v>CL</v>
      </c>
      <c r="I86" s="4">
        <v>4</v>
      </c>
      <c r="J86" s="4">
        <v>5891.91</v>
      </c>
      <c r="K86" s="4">
        <v>445.9</v>
      </c>
    </row>
    <row r="87" spans="1:11" x14ac:dyDescent="0.4">
      <c r="A87" s="4" t="s">
        <v>52</v>
      </c>
      <c r="B87" s="4" t="s">
        <v>19</v>
      </c>
      <c r="C87" s="4" t="s">
        <v>24</v>
      </c>
      <c r="D87" s="4" t="str">
        <f>VLOOKUP(data[[#This Row],[Category]],Category.,2,0)</f>
        <v>Fo. &amp; Be.</v>
      </c>
      <c r="E87" s="4" t="s">
        <v>25</v>
      </c>
      <c r="F87" s="4" t="str">
        <f>VLOOKUP(data[[#This Row],[Product]],Product.,2,0)</f>
        <v>Snac.</v>
      </c>
      <c r="G87" s="4" t="s">
        <v>34</v>
      </c>
      <c r="H87" s="4" t="str">
        <f>VLOOKUP(data[[#This Row],[State]],State.,2,0)</f>
        <v>IL</v>
      </c>
      <c r="I87" s="4">
        <v>5</v>
      </c>
      <c r="J87" s="4">
        <v>949.88</v>
      </c>
      <c r="K87" s="4">
        <v>578.25</v>
      </c>
    </row>
    <row r="88" spans="1:11" x14ac:dyDescent="0.4">
      <c r="A88" s="4" t="s">
        <v>18</v>
      </c>
      <c r="B88" s="4" t="s">
        <v>49</v>
      </c>
      <c r="C88" s="4" t="s">
        <v>20</v>
      </c>
      <c r="D88" s="4" t="str">
        <f>VLOOKUP(data[[#This Row],[Category]],Category.,2,0)</f>
        <v>Sp. &amp; Fi.</v>
      </c>
      <c r="E88" s="4" t="s">
        <v>33</v>
      </c>
      <c r="F88" s="4" t="str">
        <f>VLOOKUP(data[[#This Row],[Product]],Product.,2,0)</f>
        <v>Bicy.</v>
      </c>
      <c r="G88" s="4" t="s">
        <v>17</v>
      </c>
      <c r="H88" s="4" t="str">
        <f>VLOOKUP(data[[#This Row],[State]],State.,2,0)</f>
        <v>TX</v>
      </c>
      <c r="I88" s="4">
        <v>1</v>
      </c>
      <c r="J88" s="4">
        <v>580.63</v>
      </c>
      <c r="K88" s="4">
        <v>126.29</v>
      </c>
    </row>
    <row r="89" spans="1:11" x14ac:dyDescent="0.4">
      <c r="A89" s="4" t="s">
        <v>38</v>
      </c>
      <c r="B89" s="4" t="s">
        <v>30</v>
      </c>
      <c r="C89" s="4" t="s">
        <v>15</v>
      </c>
      <c r="D89" s="4" t="str">
        <f>VLOOKUP(data[[#This Row],[Category]],Category.,2,0)</f>
        <v>Cloth.</v>
      </c>
      <c r="E89" s="4" t="s">
        <v>43</v>
      </c>
      <c r="F89" s="4" t="str">
        <f>VLOOKUP(data[[#This Row],[Product]],Product.,2,0)</f>
        <v>T-Sh.</v>
      </c>
      <c r="G89" s="4" t="s">
        <v>17</v>
      </c>
      <c r="H89" s="4" t="str">
        <f>VLOOKUP(data[[#This Row],[State]],State.,2,0)</f>
        <v>TX</v>
      </c>
      <c r="I89" s="4">
        <v>3</v>
      </c>
      <c r="J89" s="4">
        <v>4376.82</v>
      </c>
      <c r="K89" s="4">
        <v>2440.69</v>
      </c>
    </row>
    <row r="90" spans="1:11" x14ac:dyDescent="0.4">
      <c r="A90" s="4" t="s">
        <v>23</v>
      </c>
      <c r="B90" s="4" t="s">
        <v>49</v>
      </c>
      <c r="C90" s="4" t="s">
        <v>24</v>
      </c>
      <c r="D90" s="4" t="str">
        <f>VLOOKUP(data[[#This Row],[Category]],Category.,2,0)</f>
        <v>Fo. &amp; Be.</v>
      </c>
      <c r="E90" s="4" t="s">
        <v>31</v>
      </c>
      <c r="F90" s="4" t="str">
        <f>VLOOKUP(data[[#This Row],[Product]],Product.,2,0)</f>
        <v>Juic.</v>
      </c>
      <c r="G90" s="4" t="s">
        <v>17</v>
      </c>
      <c r="H90" s="4" t="str">
        <f>VLOOKUP(data[[#This Row],[State]],State.,2,0)</f>
        <v>TX</v>
      </c>
      <c r="I90" s="4">
        <v>3</v>
      </c>
      <c r="J90" s="4">
        <v>5329.19</v>
      </c>
      <c r="K90" s="4">
        <v>709.28</v>
      </c>
    </row>
    <row r="91" spans="1:11" x14ac:dyDescent="0.4">
      <c r="A91" s="4" t="s">
        <v>13</v>
      </c>
      <c r="B91" s="4" t="s">
        <v>49</v>
      </c>
      <c r="C91" s="4" t="s">
        <v>10</v>
      </c>
      <c r="D91" s="4" t="str">
        <f>VLOOKUP(data[[#This Row],[Category]],Category.,2,0)</f>
        <v>Electr.</v>
      </c>
      <c r="E91" s="4" t="s">
        <v>47</v>
      </c>
      <c r="F91" s="4" t="str">
        <f>VLOOKUP(data[[#This Row],[Product]],Product.,2,0)</f>
        <v>Head.</v>
      </c>
      <c r="G91" s="4" t="s">
        <v>22</v>
      </c>
      <c r="H91" s="4" t="str">
        <f>VLOOKUP(data[[#This Row],[State]],State.,2,0)</f>
        <v>NY</v>
      </c>
      <c r="I91" s="4">
        <v>1</v>
      </c>
      <c r="J91" s="4">
        <v>4789.41</v>
      </c>
      <c r="K91" s="4">
        <v>2629.17</v>
      </c>
    </row>
    <row r="92" spans="1:11" x14ac:dyDescent="0.4">
      <c r="A92" s="4" t="s">
        <v>29</v>
      </c>
      <c r="B92" s="4" t="s">
        <v>32</v>
      </c>
      <c r="C92" s="4" t="s">
        <v>35</v>
      </c>
      <c r="D92" s="4" t="str">
        <f>VLOOKUP(data[[#This Row],[Category]],Category.,2,0)</f>
        <v>Ho. Ap.</v>
      </c>
      <c r="E92" s="4" t="s">
        <v>57</v>
      </c>
      <c r="F92" s="4" t="str">
        <f>VLOOKUP(data[[#This Row],[Product]],Product.,2,0)</f>
        <v>Toas.</v>
      </c>
      <c r="G92" s="4" t="s">
        <v>48</v>
      </c>
      <c r="H92" s="4" t="str">
        <f>VLOOKUP(data[[#This Row],[State]],State.,2,0)</f>
        <v>PN</v>
      </c>
      <c r="I92" s="4">
        <v>1</v>
      </c>
      <c r="J92" s="4">
        <v>2299.36</v>
      </c>
      <c r="K92" s="4">
        <v>1915.5</v>
      </c>
    </row>
    <row r="93" spans="1:11" x14ac:dyDescent="0.4">
      <c r="A93" s="4" t="s">
        <v>26</v>
      </c>
      <c r="B93" s="4" t="s">
        <v>30</v>
      </c>
      <c r="C93" s="4" t="s">
        <v>15</v>
      </c>
      <c r="D93" s="4" t="str">
        <f>VLOOKUP(data[[#This Row],[Category]],Category.,2,0)</f>
        <v>Cloth.</v>
      </c>
      <c r="E93" s="4" t="s">
        <v>43</v>
      </c>
      <c r="F93" s="4" t="str">
        <f>VLOOKUP(data[[#This Row],[Product]],Product.,2,0)</f>
        <v>T-Sh.</v>
      </c>
      <c r="G93" s="4" t="s">
        <v>22</v>
      </c>
      <c r="H93" s="4" t="str">
        <f>VLOOKUP(data[[#This Row],[State]],State.,2,0)</f>
        <v>NY</v>
      </c>
      <c r="I93" s="4">
        <v>1</v>
      </c>
      <c r="J93" s="4">
        <v>745.98</v>
      </c>
      <c r="K93" s="4">
        <v>277.54000000000002</v>
      </c>
    </row>
    <row r="94" spans="1:11" x14ac:dyDescent="0.4">
      <c r="A94" s="4" t="s">
        <v>13</v>
      </c>
      <c r="B94" s="4" t="s">
        <v>32</v>
      </c>
      <c r="C94" s="4" t="s">
        <v>20</v>
      </c>
      <c r="D94" s="4" t="str">
        <f>VLOOKUP(data[[#This Row],[Category]],Category.,2,0)</f>
        <v>Sp. &amp; Fi.</v>
      </c>
      <c r="E94" s="4" t="s">
        <v>42</v>
      </c>
      <c r="F94" s="4" t="str">
        <f>VLOOKUP(data[[#This Row],[Product]],Product.,2,0)</f>
        <v>Dumb.</v>
      </c>
      <c r="G94" s="4" t="s">
        <v>22</v>
      </c>
      <c r="H94" s="4" t="str">
        <f>VLOOKUP(data[[#This Row],[State]],State.,2,0)</f>
        <v>NY</v>
      </c>
      <c r="I94" s="4">
        <v>5</v>
      </c>
      <c r="J94" s="4">
        <v>8558.85</v>
      </c>
      <c r="K94" s="4">
        <v>4423.1000000000004</v>
      </c>
    </row>
    <row r="95" spans="1:11" x14ac:dyDescent="0.4">
      <c r="A95" s="4" t="s">
        <v>38</v>
      </c>
      <c r="B95" s="4" t="s">
        <v>14</v>
      </c>
      <c r="C95" s="4" t="s">
        <v>20</v>
      </c>
      <c r="D95" s="4" t="str">
        <f>VLOOKUP(data[[#This Row],[Category]],Category.,2,0)</f>
        <v>Sp. &amp; Fi.</v>
      </c>
      <c r="E95" s="4" t="s">
        <v>21</v>
      </c>
      <c r="F95" s="4" t="str">
        <f>VLOOKUP(data[[#This Row],[Product]],Product.,2,0)</f>
        <v>Yoga.</v>
      </c>
      <c r="G95" s="4" t="s">
        <v>12</v>
      </c>
      <c r="H95" s="4" t="str">
        <f>VLOOKUP(data[[#This Row],[State]],State.,2,0)</f>
        <v>CL</v>
      </c>
      <c r="I95" s="4">
        <v>4</v>
      </c>
      <c r="J95" s="4">
        <v>1630.03</v>
      </c>
      <c r="K95" s="4">
        <v>948.42</v>
      </c>
    </row>
    <row r="96" spans="1:11" x14ac:dyDescent="0.4">
      <c r="A96" s="4" t="s">
        <v>13</v>
      </c>
      <c r="B96" s="4" t="s">
        <v>30</v>
      </c>
      <c r="C96" s="4" t="s">
        <v>35</v>
      </c>
      <c r="D96" s="4" t="str">
        <f>VLOOKUP(data[[#This Row],[Category]],Category.,2,0)</f>
        <v>Ho. Ap.</v>
      </c>
      <c r="E96" s="4" t="s">
        <v>44</v>
      </c>
      <c r="F96" s="4" t="str">
        <f>VLOOKUP(data[[#This Row],[Product]],Product.,2,0)</f>
        <v>Dish.</v>
      </c>
      <c r="G96" s="4" t="s">
        <v>12</v>
      </c>
      <c r="H96" s="4" t="str">
        <f>VLOOKUP(data[[#This Row],[State]],State.,2,0)</f>
        <v>CL</v>
      </c>
      <c r="I96" s="4">
        <v>1</v>
      </c>
      <c r="J96" s="4">
        <v>3582.45</v>
      </c>
      <c r="K96" s="4">
        <v>944.91</v>
      </c>
    </row>
    <row r="97" spans="1:11" x14ac:dyDescent="0.4">
      <c r="A97" s="4" t="s">
        <v>13</v>
      </c>
      <c r="B97" s="4" t="s">
        <v>30</v>
      </c>
      <c r="C97" s="4" t="s">
        <v>35</v>
      </c>
      <c r="D97" s="4" t="str">
        <f>VLOOKUP(data[[#This Row],[Category]],Category.,2,0)</f>
        <v>Ho. Ap.</v>
      </c>
      <c r="E97" s="4" t="s">
        <v>44</v>
      </c>
      <c r="F97" s="4" t="str">
        <f>VLOOKUP(data[[#This Row],[Product]],Product.,2,0)</f>
        <v>Dish.</v>
      </c>
      <c r="G97" s="4" t="s">
        <v>17</v>
      </c>
      <c r="H97" s="4" t="str">
        <f>VLOOKUP(data[[#This Row],[State]],State.,2,0)</f>
        <v>TX</v>
      </c>
      <c r="I97" s="4">
        <v>1</v>
      </c>
      <c r="J97" s="4">
        <v>4806.49</v>
      </c>
      <c r="K97" s="4">
        <v>842.36</v>
      </c>
    </row>
    <row r="98" spans="1:11" x14ac:dyDescent="0.4">
      <c r="A98" s="4" t="s">
        <v>38</v>
      </c>
      <c r="B98" s="4" t="s">
        <v>32</v>
      </c>
      <c r="C98" s="4" t="s">
        <v>35</v>
      </c>
      <c r="D98" s="4" t="str">
        <f>VLOOKUP(data[[#This Row],[Category]],Category.,2,0)</f>
        <v>Ho. Ap.</v>
      </c>
      <c r="E98" s="4" t="s">
        <v>36</v>
      </c>
      <c r="F98" s="4" t="str">
        <f>VLOOKUP(data[[#This Row],[Product]],Product.,2,0)</f>
        <v>Micr.</v>
      </c>
      <c r="G98" s="4" t="s">
        <v>12</v>
      </c>
      <c r="H98" s="4" t="str">
        <f>VLOOKUP(data[[#This Row],[State]],State.,2,0)</f>
        <v>CL</v>
      </c>
      <c r="I98" s="4">
        <v>3</v>
      </c>
      <c r="J98" s="4">
        <v>8035.93</v>
      </c>
      <c r="K98" s="4">
        <v>2917.09</v>
      </c>
    </row>
    <row r="99" spans="1:11" x14ac:dyDescent="0.4">
      <c r="A99" s="4" t="s">
        <v>18</v>
      </c>
      <c r="B99" s="4" t="s">
        <v>9</v>
      </c>
      <c r="C99" s="4" t="s">
        <v>24</v>
      </c>
      <c r="D99" s="4" t="str">
        <f>VLOOKUP(data[[#This Row],[Category]],Category.,2,0)</f>
        <v>Fo. &amp; Be.</v>
      </c>
      <c r="E99" s="4" t="s">
        <v>31</v>
      </c>
      <c r="F99" s="4" t="str">
        <f>VLOOKUP(data[[#This Row],[Product]],Product.,2,0)</f>
        <v>Juic.</v>
      </c>
      <c r="G99" s="4" t="s">
        <v>12</v>
      </c>
      <c r="H99" s="4" t="str">
        <f>VLOOKUP(data[[#This Row],[State]],State.,2,0)</f>
        <v>CL</v>
      </c>
      <c r="I99" s="4">
        <v>5</v>
      </c>
      <c r="J99" s="4">
        <v>1021.24</v>
      </c>
      <c r="K99" s="4">
        <v>407.07</v>
      </c>
    </row>
    <row r="100" spans="1:11" x14ac:dyDescent="0.4">
      <c r="A100" s="4" t="s">
        <v>26</v>
      </c>
      <c r="B100" s="4" t="s">
        <v>30</v>
      </c>
      <c r="C100" s="4" t="s">
        <v>10</v>
      </c>
      <c r="D100" s="4" t="str">
        <f>VLOOKUP(data[[#This Row],[Category]],Category.,2,0)</f>
        <v>Electr.</v>
      </c>
      <c r="E100" s="4" t="s">
        <v>47</v>
      </c>
      <c r="F100" s="4" t="str">
        <f>VLOOKUP(data[[#This Row],[Product]],Product.,2,0)</f>
        <v>Head.</v>
      </c>
      <c r="G100" s="4" t="s">
        <v>34</v>
      </c>
      <c r="H100" s="4" t="str">
        <f>VLOOKUP(data[[#This Row],[State]],State.,2,0)</f>
        <v>IL</v>
      </c>
      <c r="I100" s="4">
        <v>3</v>
      </c>
      <c r="J100" s="4">
        <v>3527.69</v>
      </c>
      <c r="K100" s="4">
        <v>1180.96</v>
      </c>
    </row>
    <row r="101" spans="1:11" x14ac:dyDescent="0.4">
      <c r="A101" s="4" t="s">
        <v>41</v>
      </c>
      <c r="B101" s="4" t="s">
        <v>39</v>
      </c>
      <c r="C101" s="4" t="s">
        <v>24</v>
      </c>
      <c r="D101" s="4" t="str">
        <f>VLOOKUP(data[[#This Row],[Category]],Category.,2,0)</f>
        <v>Fo. &amp; Be.</v>
      </c>
      <c r="E101" s="4" t="s">
        <v>25</v>
      </c>
      <c r="F101" s="4" t="str">
        <f>VLOOKUP(data[[#This Row],[Product]],Product.,2,0)</f>
        <v>Snac.</v>
      </c>
      <c r="G101" s="4" t="s">
        <v>48</v>
      </c>
      <c r="H101" s="4" t="str">
        <f>VLOOKUP(data[[#This Row],[State]],State.,2,0)</f>
        <v>PN</v>
      </c>
      <c r="I101" s="4">
        <v>4</v>
      </c>
      <c r="J101" s="4">
        <v>5826.46</v>
      </c>
      <c r="K101" s="4">
        <v>4300.93</v>
      </c>
    </row>
    <row r="102" spans="1:11" x14ac:dyDescent="0.4">
      <c r="A102" s="4" t="s">
        <v>52</v>
      </c>
      <c r="B102" s="4" t="s">
        <v>14</v>
      </c>
      <c r="C102" s="4" t="s">
        <v>15</v>
      </c>
      <c r="D102" s="4" t="str">
        <f>VLOOKUP(data[[#This Row],[Category]],Category.,2,0)</f>
        <v>Cloth.</v>
      </c>
      <c r="E102" s="4" t="s">
        <v>16</v>
      </c>
      <c r="F102" s="4" t="str">
        <f>VLOOKUP(data[[#This Row],[Product]],Product.,2,0)</f>
        <v>Jean.</v>
      </c>
      <c r="G102" s="4" t="s">
        <v>12</v>
      </c>
      <c r="H102" s="4" t="str">
        <f>VLOOKUP(data[[#This Row],[State]],State.,2,0)</f>
        <v>CL</v>
      </c>
      <c r="I102" s="4">
        <v>5</v>
      </c>
      <c r="J102" s="4">
        <v>9376.5</v>
      </c>
      <c r="K102" s="4">
        <v>917.14</v>
      </c>
    </row>
    <row r="103" spans="1:11" x14ac:dyDescent="0.4">
      <c r="A103" s="4" t="s">
        <v>18</v>
      </c>
      <c r="B103" s="4" t="s">
        <v>9</v>
      </c>
      <c r="C103" s="4" t="s">
        <v>24</v>
      </c>
      <c r="D103" s="4" t="str">
        <f>VLOOKUP(data[[#This Row],[Category]],Category.,2,0)</f>
        <v>Fo. &amp; Be.</v>
      </c>
      <c r="E103" s="4" t="s">
        <v>45</v>
      </c>
      <c r="F103" s="4" t="str">
        <f>VLOOKUP(data[[#This Row],[Product]],Product.,2,0)</f>
        <v>Tea.</v>
      </c>
      <c r="G103" s="4" t="s">
        <v>28</v>
      </c>
      <c r="H103" s="4" t="str">
        <f>VLOOKUP(data[[#This Row],[State]],State.,2,0)</f>
        <v>FL</v>
      </c>
      <c r="I103" s="4">
        <v>2</v>
      </c>
      <c r="J103" s="4">
        <v>3645.5</v>
      </c>
      <c r="K103" s="4">
        <v>687.2</v>
      </c>
    </row>
    <row r="104" spans="1:11" x14ac:dyDescent="0.4">
      <c r="A104" s="4" t="s">
        <v>38</v>
      </c>
      <c r="B104" s="4" t="s">
        <v>32</v>
      </c>
      <c r="C104" s="4" t="s">
        <v>20</v>
      </c>
      <c r="D104" s="4" t="str">
        <f>VLOOKUP(data[[#This Row],[Category]],Category.,2,0)</f>
        <v>Sp. &amp; Fi.</v>
      </c>
      <c r="E104" s="4" t="s">
        <v>42</v>
      </c>
      <c r="F104" s="4" t="str">
        <f>VLOOKUP(data[[#This Row],[Product]],Product.,2,0)</f>
        <v>Dumb.</v>
      </c>
      <c r="G104" s="4" t="s">
        <v>12</v>
      </c>
      <c r="H104" s="4" t="str">
        <f>VLOOKUP(data[[#This Row],[State]],State.,2,0)</f>
        <v>CL</v>
      </c>
      <c r="I104" s="4">
        <v>4</v>
      </c>
      <c r="J104" s="4">
        <v>666.75</v>
      </c>
      <c r="K104" s="4">
        <v>412.78</v>
      </c>
    </row>
    <row r="105" spans="1:11" x14ac:dyDescent="0.4">
      <c r="A105" s="4" t="s">
        <v>29</v>
      </c>
      <c r="B105" s="4" t="s">
        <v>19</v>
      </c>
      <c r="C105" s="4" t="s">
        <v>20</v>
      </c>
      <c r="D105" s="4" t="str">
        <f>VLOOKUP(data[[#This Row],[Category]],Category.,2,0)</f>
        <v>Sp. &amp; Fi.</v>
      </c>
      <c r="E105" s="4" t="s">
        <v>42</v>
      </c>
      <c r="F105" s="4" t="str">
        <f>VLOOKUP(data[[#This Row],[Product]],Product.,2,0)</f>
        <v>Dumb.</v>
      </c>
      <c r="G105" s="4" t="s">
        <v>22</v>
      </c>
      <c r="H105" s="4" t="str">
        <f>VLOOKUP(data[[#This Row],[State]],State.,2,0)</f>
        <v>NY</v>
      </c>
      <c r="I105" s="4">
        <v>3</v>
      </c>
      <c r="J105" s="4">
        <v>5020.32</v>
      </c>
      <c r="K105" s="4">
        <v>1839.86</v>
      </c>
    </row>
    <row r="106" spans="1:11" x14ac:dyDescent="0.4">
      <c r="A106" s="4" t="s">
        <v>8</v>
      </c>
      <c r="B106" s="4" t="s">
        <v>14</v>
      </c>
      <c r="C106" s="4" t="s">
        <v>24</v>
      </c>
      <c r="D106" s="4" t="str">
        <f>VLOOKUP(data[[#This Row],[Category]],Category.,2,0)</f>
        <v>Fo. &amp; Be.</v>
      </c>
      <c r="E106" s="4" t="s">
        <v>31</v>
      </c>
      <c r="F106" s="4" t="str">
        <f>VLOOKUP(data[[#This Row],[Product]],Product.,2,0)</f>
        <v>Juic.</v>
      </c>
      <c r="G106" s="4" t="s">
        <v>12</v>
      </c>
      <c r="H106" s="4" t="str">
        <f>VLOOKUP(data[[#This Row],[State]],State.,2,0)</f>
        <v>CL</v>
      </c>
      <c r="I106" s="4">
        <v>5</v>
      </c>
      <c r="J106" s="4">
        <v>2664</v>
      </c>
      <c r="K106" s="4">
        <v>1103.1400000000001</v>
      </c>
    </row>
    <row r="107" spans="1:11" x14ac:dyDescent="0.4">
      <c r="A107" s="4" t="s">
        <v>40</v>
      </c>
      <c r="B107" s="4" t="s">
        <v>14</v>
      </c>
      <c r="C107" s="4" t="s">
        <v>24</v>
      </c>
      <c r="D107" s="4" t="str">
        <f>VLOOKUP(data[[#This Row],[Category]],Category.,2,0)</f>
        <v>Fo. &amp; Be.</v>
      </c>
      <c r="E107" s="4" t="s">
        <v>56</v>
      </c>
      <c r="F107" s="4" t="str">
        <f>VLOOKUP(data[[#This Row],[Product]],Product.,2,0)</f>
        <v>Coff.</v>
      </c>
      <c r="G107" s="4" t="s">
        <v>17</v>
      </c>
      <c r="H107" s="4" t="str">
        <f>VLOOKUP(data[[#This Row],[State]],State.,2,0)</f>
        <v>TX</v>
      </c>
      <c r="I107" s="4">
        <v>1</v>
      </c>
      <c r="J107" s="4">
        <v>6252.79</v>
      </c>
      <c r="K107" s="4">
        <v>4829.1099999999997</v>
      </c>
    </row>
    <row r="108" spans="1:11" x14ac:dyDescent="0.4">
      <c r="A108" s="4" t="s">
        <v>40</v>
      </c>
      <c r="B108" s="4" t="s">
        <v>39</v>
      </c>
      <c r="C108" s="4" t="s">
        <v>15</v>
      </c>
      <c r="D108" s="4" t="str">
        <f>VLOOKUP(data[[#This Row],[Category]],Category.,2,0)</f>
        <v>Cloth.</v>
      </c>
      <c r="E108" s="4" t="s">
        <v>16</v>
      </c>
      <c r="F108" s="4" t="str">
        <f>VLOOKUP(data[[#This Row],[Product]],Product.,2,0)</f>
        <v>Jean.</v>
      </c>
      <c r="G108" s="4" t="s">
        <v>48</v>
      </c>
      <c r="H108" s="4" t="str">
        <f>VLOOKUP(data[[#This Row],[State]],State.,2,0)</f>
        <v>PN</v>
      </c>
      <c r="I108" s="4">
        <v>2</v>
      </c>
      <c r="J108" s="4">
        <v>7547.82</v>
      </c>
      <c r="K108" s="4">
        <v>3850.16</v>
      </c>
    </row>
    <row r="109" spans="1:11" x14ac:dyDescent="0.4">
      <c r="A109" s="4" t="s">
        <v>37</v>
      </c>
      <c r="B109" s="4" t="s">
        <v>49</v>
      </c>
      <c r="C109" s="4" t="s">
        <v>20</v>
      </c>
      <c r="D109" s="4" t="str">
        <f>VLOOKUP(data[[#This Row],[Category]],Category.,2,0)</f>
        <v>Sp. &amp; Fi.</v>
      </c>
      <c r="E109" s="4" t="s">
        <v>33</v>
      </c>
      <c r="F109" s="4" t="str">
        <f>VLOOKUP(data[[#This Row],[Product]],Product.,2,0)</f>
        <v>Bicy.</v>
      </c>
      <c r="G109" s="4" t="s">
        <v>48</v>
      </c>
      <c r="H109" s="4" t="str">
        <f>VLOOKUP(data[[#This Row],[State]],State.,2,0)</f>
        <v>PN</v>
      </c>
      <c r="I109" s="4">
        <v>4</v>
      </c>
      <c r="J109" s="4">
        <v>9636.9500000000007</v>
      </c>
      <c r="K109" s="4">
        <v>845.42</v>
      </c>
    </row>
    <row r="110" spans="1:11" x14ac:dyDescent="0.4">
      <c r="A110" s="4" t="s">
        <v>37</v>
      </c>
      <c r="B110" s="4" t="s">
        <v>30</v>
      </c>
      <c r="C110" s="4" t="s">
        <v>15</v>
      </c>
      <c r="D110" s="4" t="str">
        <f>VLOOKUP(data[[#This Row],[Category]],Category.,2,0)</f>
        <v>Cloth.</v>
      </c>
      <c r="E110" s="4" t="s">
        <v>16</v>
      </c>
      <c r="F110" s="4" t="str">
        <f>VLOOKUP(data[[#This Row],[Product]],Product.,2,0)</f>
        <v>Jean.</v>
      </c>
      <c r="G110" s="4" t="s">
        <v>22</v>
      </c>
      <c r="H110" s="4" t="str">
        <f>VLOOKUP(data[[#This Row],[State]],State.,2,0)</f>
        <v>NY</v>
      </c>
      <c r="I110" s="4">
        <v>2</v>
      </c>
      <c r="J110" s="4">
        <v>352.89</v>
      </c>
      <c r="K110" s="4">
        <v>101.3</v>
      </c>
    </row>
    <row r="111" spans="1:11" x14ac:dyDescent="0.4">
      <c r="A111" s="4" t="s">
        <v>8</v>
      </c>
      <c r="B111" s="4" t="s">
        <v>14</v>
      </c>
      <c r="C111" s="4" t="s">
        <v>35</v>
      </c>
      <c r="D111" s="4" t="str">
        <f>VLOOKUP(data[[#This Row],[Category]],Category.,2,0)</f>
        <v>Ho. Ap.</v>
      </c>
      <c r="E111" s="4" t="s">
        <v>36</v>
      </c>
      <c r="F111" s="4" t="str">
        <f>VLOOKUP(data[[#This Row],[Product]],Product.,2,0)</f>
        <v>Micr.</v>
      </c>
      <c r="G111" s="4" t="s">
        <v>48</v>
      </c>
      <c r="H111" s="4" t="str">
        <f>VLOOKUP(data[[#This Row],[State]],State.,2,0)</f>
        <v>PN</v>
      </c>
      <c r="I111" s="4">
        <v>2</v>
      </c>
      <c r="J111" s="4">
        <v>5059.7</v>
      </c>
      <c r="K111" s="4">
        <v>919.79</v>
      </c>
    </row>
    <row r="112" spans="1:11" x14ac:dyDescent="0.4">
      <c r="A112" s="4" t="s">
        <v>40</v>
      </c>
      <c r="B112" s="4" t="s">
        <v>19</v>
      </c>
      <c r="C112" s="4" t="s">
        <v>20</v>
      </c>
      <c r="D112" s="4" t="str">
        <f>VLOOKUP(data[[#This Row],[Category]],Category.,2,0)</f>
        <v>Sp. &amp; Fi.</v>
      </c>
      <c r="E112" s="4" t="s">
        <v>21</v>
      </c>
      <c r="F112" s="4" t="str">
        <f>VLOOKUP(data[[#This Row],[Product]],Product.,2,0)</f>
        <v>Yoga.</v>
      </c>
      <c r="G112" s="4" t="s">
        <v>17</v>
      </c>
      <c r="H112" s="4" t="str">
        <f>VLOOKUP(data[[#This Row],[State]],State.,2,0)</f>
        <v>TX</v>
      </c>
      <c r="I112" s="4">
        <v>3</v>
      </c>
      <c r="J112" s="4">
        <v>7407.02</v>
      </c>
      <c r="K112" s="4">
        <v>90.8</v>
      </c>
    </row>
    <row r="113" spans="1:11" x14ac:dyDescent="0.4">
      <c r="A113" s="4" t="s">
        <v>38</v>
      </c>
      <c r="B113" s="4" t="s">
        <v>30</v>
      </c>
      <c r="C113" s="4" t="s">
        <v>10</v>
      </c>
      <c r="D113" s="4" t="str">
        <f>VLOOKUP(data[[#This Row],[Category]],Category.,2,0)</f>
        <v>Electr.</v>
      </c>
      <c r="E113" s="4" t="s">
        <v>47</v>
      </c>
      <c r="F113" s="4" t="str">
        <f>VLOOKUP(data[[#This Row],[Product]],Product.,2,0)</f>
        <v>Head.</v>
      </c>
      <c r="G113" s="4" t="s">
        <v>28</v>
      </c>
      <c r="H113" s="4" t="str">
        <f>VLOOKUP(data[[#This Row],[State]],State.,2,0)</f>
        <v>FL</v>
      </c>
      <c r="I113" s="4">
        <v>1</v>
      </c>
      <c r="J113" s="4">
        <v>6667.62</v>
      </c>
      <c r="K113" s="4">
        <v>1713.38</v>
      </c>
    </row>
    <row r="114" spans="1:11" x14ac:dyDescent="0.4">
      <c r="A114" s="4" t="s">
        <v>52</v>
      </c>
      <c r="B114" s="4" t="s">
        <v>9</v>
      </c>
      <c r="C114" s="4" t="s">
        <v>10</v>
      </c>
      <c r="D114" s="4" t="str">
        <f>VLOOKUP(data[[#This Row],[Category]],Category.,2,0)</f>
        <v>Electr.</v>
      </c>
      <c r="E114" s="4" t="s">
        <v>47</v>
      </c>
      <c r="F114" s="4" t="str">
        <f>VLOOKUP(data[[#This Row],[Product]],Product.,2,0)</f>
        <v>Head.</v>
      </c>
      <c r="G114" s="4" t="s">
        <v>12</v>
      </c>
      <c r="H114" s="4" t="str">
        <f>VLOOKUP(data[[#This Row],[State]],State.,2,0)</f>
        <v>CL</v>
      </c>
      <c r="I114" s="4">
        <v>5</v>
      </c>
      <c r="J114" s="4">
        <v>3322.06</v>
      </c>
      <c r="K114" s="4">
        <v>2562.04</v>
      </c>
    </row>
    <row r="115" spans="1:11" x14ac:dyDescent="0.4">
      <c r="A115" s="4" t="s">
        <v>52</v>
      </c>
      <c r="B115" s="4" t="s">
        <v>30</v>
      </c>
      <c r="C115" s="4" t="s">
        <v>35</v>
      </c>
      <c r="D115" s="4" t="str">
        <f>VLOOKUP(data[[#This Row],[Category]],Category.,2,0)</f>
        <v>Ho. Ap.</v>
      </c>
      <c r="E115" s="4" t="s">
        <v>50</v>
      </c>
      <c r="F115" s="4" t="str">
        <f>VLOOKUP(data[[#This Row],[Product]],Product.,2,0)</f>
        <v>Refr.</v>
      </c>
      <c r="G115" s="4" t="s">
        <v>22</v>
      </c>
      <c r="H115" s="4" t="str">
        <f>VLOOKUP(data[[#This Row],[State]],State.,2,0)</f>
        <v>NY</v>
      </c>
      <c r="I115" s="4">
        <v>1</v>
      </c>
      <c r="J115" s="4">
        <v>6843.25</v>
      </c>
      <c r="K115" s="4">
        <v>2110.91</v>
      </c>
    </row>
    <row r="116" spans="1:11" x14ac:dyDescent="0.4">
      <c r="A116" s="4" t="s">
        <v>37</v>
      </c>
      <c r="B116" s="4" t="s">
        <v>32</v>
      </c>
      <c r="C116" s="4" t="s">
        <v>15</v>
      </c>
      <c r="D116" s="4" t="str">
        <f>VLOOKUP(data[[#This Row],[Category]],Category.,2,0)</f>
        <v>Cloth.</v>
      </c>
      <c r="E116" s="4" t="s">
        <v>46</v>
      </c>
      <c r="F116" s="4" t="str">
        <f>VLOOKUP(data[[#This Row],[Product]],Product.,2,0)</f>
        <v>Swea.</v>
      </c>
      <c r="G116" s="4" t="s">
        <v>22</v>
      </c>
      <c r="H116" s="4" t="str">
        <f>VLOOKUP(data[[#This Row],[State]],State.,2,0)</f>
        <v>NY</v>
      </c>
      <c r="I116" s="4">
        <v>4</v>
      </c>
      <c r="J116" s="4">
        <v>2571.37</v>
      </c>
      <c r="K116" s="4">
        <v>1336.75</v>
      </c>
    </row>
    <row r="117" spans="1:11" x14ac:dyDescent="0.4">
      <c r="A117" s="4" t="s">
        <v>41</v>
      </c>
      <c r="B117" s="4" t="s">
        <v>32</v>
      </c>
      <c r="C117" s="4" t="s">
        <v>24</v>
      </c>
      <c r="D117" s="4" t="str">
        <f>VLOOKUP(data[[#This Row],[Category]],Category.,2,0)</f>
        <v>Fo. &amp; Be.</v>
      </c>
      <c r="E117" s="4" t="s">
        <v>25</v>
      </c>
      <c r="F117" s="4" t="str">
        <f>VLOOKUP(data[[#This Row],[Product]],Product.,2,0)</f>
        <v>Snac.</v>
      </c>
      <c r="G117" s="4" t="s">
        <v>17</v>
      </c>
      <c r="H117" s="4" t="str">
        <f>VLOOKUP(data[[#This Row],[State]],State.,2,0)</f>
        <v>TX</v>
      </c>
      <c r="I117" s="4">
        <v>5</v>
      </c>
      <c r="J117" s="4">
        <v>7479.72</v>
      </c>
      <c r="K117" s="4">
        <v>3389.93</v>
      </c>
    </row>
    <row r="118" spans="1:11" x14ac:dyDescent="0.4">
      <c r="A118" s="4" t="s">
        <v>40</v>
      </c>
      <c r="B118" s="4" t="s">
        <v>14</v>
      </c>
      <c r="C118" s="4" t="s">
        <v>35</v>
      </c>
      <c r="D118" s="4" t="str">
        <f>VLOOKUP(data[[#This Row],[Category]],Category.,2,0)</f>
        <v>Ho. Ap.</v>
      </c>
      <c r="E118" s="4" t="s">
        <v>44</v>
      </c>
      <c r="F118" s="4" t="str">
        <f>VLOOKUP(data[[#This Row],[Product]],Product.,2,0)</f>
        <v>Dish.</v>
      </c>
      <c r="G118" s="4" t="s">
        <v>12</v>
      </c>
      <c r="H118" s="4" t="str">
        <f>VLOOKUP(data[[#This Row],[State]],State.,2,0)</f>
        <v>CL</v>
      </c>
      <c r="I118" s="4">
        <v>5</v>
      </c>
      <c r="J118" s="4">
        <v>7591.39</v>
      </c>
      <c r="K118" s="4">
        <v>3261.65</v>
      </c>
    </row>
    <row r="119" spans="1:11" x14ac:dyDescent="0.4">
      <c r="A119" s="4" t="s">
        <v>55</v>
      </c>
      <c r="B119" s="4" t="s">
        <v>49</v>
      </c>
      <c r="C119" s="4" t="s">
        <v>20</v>
      </c>
      <c r="D119" s="4" t="str">
        <f>VLOOKUP(data[[#This Row],[Category]],Category.,2,0)</f>
        <v>Sp. &amp; Fi.</v>
      </c>
      <c r="E119" s="4" t="s">
        <v>53</v>
      </c>
      <c r="F119" s="4" t="str">
        <f>VLOOKUP(data[[#This Row],[Product]],Product.,2,0)</f>
        <v>Trea.</v>
      </c>
      <c r="G119" s="4" t="s">
        <v>28</v>
      </c>
      <c r="H119" s="4" t="str">
        <f>VLOOKUP(data[[#This Row],[State]],State.,2,0)</f>
        <v>FL</v>
      </c>
      <c r="I119" s="4">
        <v>5</v>
      </c>
      <c r="J119" s="4">
        <v>8744.75</v>
      </c>
      <c r="K119" s="4">
        <v>4083.16</v>
      </c>
    </row>
    <row r="120" spans="1:11" x14ac:dyDescent="0.4">
      <c r="A120" s="4" t="s">
        <v>26</v>
      </c>
      <c r="B120" s="4" t="s">
        <v>49</v>
      </c>
      <c r="C120" s="4" t="s">
        <v>20</v>
      </c>
      <c r="D120" s="4" t="str">
        <f>VLOOKUP(data[[#This Row],[Category]],Category.,2,0)</f>
        <v>Sp. &amp; Fi.</v>
      </c>
      <c r="E120" s="4" t="s">
        <v>21</v>
      </c>
      <c r="F120" s="4" t="str">
        <f>VLOOKUP(data[[#This Row],[Product]],Product.,2,0)</f>
        <v>Yoga.</v>
      </c>
      <c r="G120" s="4" t="s">
        <v>12</v>
      </c>
      <c r="H120" s="4" t="str">
        <f>VLOOKUP(data[[#This Row],[State]],State.,2,0)</f>
        <v>CL</v>
      </c>
      <c r="I120" s="4">
        <v>5</v>
      </c>
      <c r="J120" s="4">
        <v>6543.09</v>
      </c>
      <c r="K120" s="4">
        <v>4343.0200000000004</v>
      </c>
    </row>
    <row r="121" spans="1:11" x14ac:dyDescent="0.4">
      <c r="A121" s="4" t="s">
        <v>38</v>
      </c>
      <c r="B121" s="4" t="s">
        <v>30</v>
      </c>
      <c r="C121" s="4" t="s">
        <v>24</v>
      </c>
      <c r="D121" s="4" t="str">
        <f>VLOOKUP(data[[#This Row],[Category]],Category.,2,0)</f>
        <v>Fo. &amp; Be.</v>
      </c>
      <c r="E121" s="4" t="s">
        <v>45</v>
      </c>
      <c r="F121" s="4" t="str">
        <f>VLOOKUP(data[[#This Row],[Product]],Product.,2,0)</f>
        <v>Tea.</v>
      </c>
      <c r="G121" s="4" t="s">
        <v>12</v>
      </c>
      <c r="H121" s="4" t="str">
        <f>VLOOKUP(data[[#This Row],[State]],State.,2,0)</f>
        <v>CL</v>
      </c>
      <c r="I121" s="4">
        <v>4</v>
      </c>
      <c r="J121" s="4">
        <v>9451.36</v>
      </c>
      <c r="K121" s="4">
        <v>3445.57</v>
      </c>
    </row>
    <row r="122" spans="1:11" x14ac:dyDescent="0.4">
      <c r="A122" s="4" t="s">
        <v>38</v>
      </c>
      <c r="B122" s="4" t="s">
        <v>39</v>
      </c>
      <c r="C122" s="4" t="s">
        <v>10</v>
      </c>
      <c r="D122" s="4" t="str">
        <f>VLOOKUP(data[[#This Row],[Category]],Category.,2,0)</f>
        <v>Electr.</v>
      </c>
      <c r="E122" s="4" t="s">
        <v>51</v>
      </c>
      <c r="F122" s="4" t="str">
        <f>VLOOKUP(data[[#This Row],[Product]],Product.,2,0)</f>
        <v>Came.</v>
      </c>
      <c r="G122" s="4" t="s">
        <v>34</v>
      </c>
      <c r="H122" s="4" t="str">
        <f>VLOOKUP(data[[#This Row],[State]],State.,2,0)</f>
        <v>IL</v>
      </c>
      <c r="I122" s="4">
        <v>4</v>
      </c>
      <c r="J122" s="4">
        <v>1622.03</v>
      </c>
      <c r="K122" s="4">
        <v>164.11</v>
      </c>
    </row>
    <row r="123" spans="1:11" x14ac:dyDescent="0.4">
      <c r="A123" s="4" t="s">
        <v>41</v>
      </c>
      <c r="B123" s="4" t="s">
        <v>39</v>
      </c>
      <c r="C123" s="4" t="s">
        <v>24</v>
      </c>
      <c r="D123" s="4" t="str">
        <f>VLOOKUP(data[[#This Row],[Category]],Category.,2,0)</f>
        <v>Fo. &amp; Be.</v>
      </c>
      <c r="E123" s="4" t="s">
        <v>31</v>
      </c>
      <c r="F123" s="4" t="str">
        <f>VLOOKUP(data[[#This Row],[Product]],Product.,2,0)</f>
        <v>Juic.</v>
      </c>
      <c r="G123" s="4" t="s">
        <v>12</v>
      </c>
      <c r="H123" s="4" t="str">
        <f>VLOOKUP(data[[#This Row],[State]],State.,2,0)</f>
        <v>CL</v>
      </c>
      <c r="I123" s="4">
        <v>5</v>
      </c>
      <c r="J123" s="4">
        <v>5157.5600000000004</v>
      </c>
      <c r="K123" s="4">
        <v>3843.67</v>
      </c>
    </row>
    <row r="124" spans="1:11" x14ac:dyDescent="0.4">
      <c r="A124" s="4" t="s">
        <v>40</v>
      </c>
      <c r="B124" s="4" t="s">
        <v>49</v>
      </c>
      <c r="C124" s="4" t="s">
        <v>35</v>
      </c>
      <c r="D124" s="4" t="str">
        <f>VLOOKUP(data[[#This Row],[Category]],Category.,2,0)</f>
        <v>Ho. Ap.</v>
      </c>
      <c r="E124" s="4" t="s">
        <v>44</v>
      </c>
      <c r="F124" s="4" t="str">
        <f>VLOOKUP(data[[#This Row],[Product]],Product.,2,0)</f>
        <v>Dish.</v>
      </c>
      <c r="G124" s="4" t="s">
        <v>12</v>
      </c>
      <c r="H124" s="4" t="str">
        <f>VLOOKUP(data[[#This Row],[State]],State.,2,0)</f>
        <v>CL</v>
      </c>
      <c r="I124" s="4">
        <v>3</v>
      </c>
      <c r="J124" s="4">
        <v>7831.92</v>
      </c>
      <c r="K124" s="4">
        <v>6310.48</v>
      </c>
    </row>
    <row r="125" spans="1:11" x14ac:dyDescent="0.4">
      <c r="A125" s="4" t="s">
        <v>52</v>
      </c>
      <c r="B125" s="4" t="s">
        <v>39</v>
      </c>
      <c r="C125" s="4" t="s">
        <v>10</v>
      </c>
      <c r="D125" s="4" t="str">
        <f>VLOOKUP(data[[#This Row],[Category]],Category.,2,0)</f>
        <v>Electr.</v>
      </c>
      <c r="E125" s="4" t="s">
        <v>11</v>
      </c>
      <c r="F125" s="4" t="str">
        <f>VLOOKUP(data[[#This Row],[Product]],Product.,2,0)</f>
        <v>Smar.</v>
      </c>
      <c r="G125" s="4" t="s">
        <v>22</v>
      </c>
      <c r="H125" s="4" t="str">
        <f>VLOOKUP(data[[#This Row],[State]],State.,2,0)</f>
        <v>NY</v>
      </c>
      <c r="I125" s="4">
        <v>2</v>
      </c>
      <c r="J125" s="4">
        <v>4722.2299999999996</v>
      </c>
      <c r="K125" s="4">
        <v>2653.62</v>
      </c>
    </row>
    <row r="126" spans="1:11" x14ac:dyDescent="0.4">
      <c r="A126" s="4" t="s">
        <v>41</v>
      </c>
      <c r="B126" s="4" t="s">
        <v>9</v>
      </c>
      <c r="C126" s="4" t="s">
        <v>10</v>
      </c>
      <c r="D126" s="4" t="str">
        <f>VLOOKUP(data[[#This Row],[Category]],Category.,2,0)</f>
        <v>Electr.</v>
      </c>
      <c r="E126" s="4" t="s">
        <v>51</v>
      </c>
      <c r="F126" s="4" t="str">
        <f>VLOOKUP(data[[#This Row],[Product]],Product.,2,0)</f>
        <v>Came.</v>
      </c>
      <c r="G126" s="4" t="s">
        <v>28</v>
      </c>
      <c r="H126" s="4" t="str">
        <f>VLOOKUP(data[[#This Row],[State]],State.,2,0)</f>
        <v>FL</v>
      </c>
      <c r="I126" s="4">
        <v>4</v>
      </c>
      <c r="J126" s="4">
        <v>2235.4</v>
      </c>
      <c r="K126" s="4">
        <v>976.75</v>
      </c>
    </row>
    <row r="127" spans="1:11" x14ac:dyDescent="0.4">
      <c r="A127" s="4" t="s">
        <v>18</v>
      </c>
      <c r="B127" s="4" t="s">
        <v>30</v>
      </c>
      <c r="C127" s="4" t="s">
        <v>20</v>
      </c>
      <c r="D127" s="4" t="str">
        <f>VLOOKUP(data[[#This Row],[Category]],Category.,2,0)</f>
        <v>Sp. &amp; Fi.</v>
      </c>
      <c r="E127" s="4" t="s">
        <v>42</v>
      </c>
      <c r="F127" s="4" t="str">
        <f>VLOOKUP(data[[#This Row],[Product]],Product.,2,0)</f>
        <v>Dumb.</v>
      </c>
      <c r="G127" s="4" t="s">
        <v>12</v>
      </c>
      <c r="H127" s="4" t="str">
        <f>VLOOKUP(data[[#This Row],[State]],State.,2,0)</f>
        <v>CL</v>
      </c>
      <c r="I127" s="4">
        <v>1</v>
      </c>
      <c r="J127" s="4">
        <v>8559.49</v>
      </c>
      <c r="K127" s="4">
        <v>4310.71</v>
      </c>
    </row>
    <row r="128" spans="1:11" x14ac:dyDescent="0.4">
      <c r="A128" s="4" t="s">
        <v>13</v>
      </c>
      <c r="B128" s="4" t="s">
        <v>32</v>
      </c>
      <c r="C128" s="4" t="s">
        <v>10</v>
      </c>
      <c r="D128" s="4" t="str">
        <f>VLOOKUP(data[[#This Row],[Category]],Category.,2,0)</f>
        <v>Electr.</v>
      </c>
      <c r="E128" s="4" t="s">
        <v>54</v>
      </c>
      <c r="F128" s="4" t="str">
        <f>VLOOKUP(data[[#This Row],[Product]],Product.,2,0)</f>
        <v>Lapt.</v>
      </c>
      <c r="G128" s="4" t="s">
        <v>28</v>
      </c>
      <c r="H128" s="4" t="str">
        <f>VLOOKUP(data[[#This Row],[State]],State.,2,0)</f>
        <v>FL</v>
      </c>
      <c r="I128" s="4">
        <v>2</v>
      </c>
      <c r="J128" s="4">
        <v>960.08</v>
      </c>
      <c r="K128" s="4">
        <v>117.05</v>
      </c>
    </row>
    <row r="129" spans="1:11" x14ac:dyDescent="0.4">
      <c r="A129" s="4" t="s">
        <v>38</v>
      </c>
      <c r="B129" s="4" t="s">
        <v>39</v>
      </c>
      <c r="C129" s="4" t="s">
        <v>15</v>
      </c>
      <c r="D129" s="4" t="str">
        <f>VLOOKUP(data[[#This Row],[Category]],Category.,2,0)</f>
        <v>Cloth.</v>
      </c>
      <c r="E129" s="4" t="s">
        <v>46</v>
      </c>
      <c r="F129" s="4" t="str">
        <f>VLOOKUP(data[[#This Row],[Product]],Product.,2,0)</f>
        <v>Swea.</v>
      </c>
      <c r="G129" s="4" t="s">
        <v>34</v>
      </c>
      <c r="H129" s="4" t="str">
        <f>VLOOKUP(data[[#This Row],[State]],State.,2,0)</f>
        <v>IL</v>
      </c>
      <c r="I129" s="4">
        <v>1</v>
      </c>
      <c r="J129" s="4">
        <v>7735.05</v>
      </c>
      <c r="K129" s="4">
        <v>908.26</v>
      </c>
    </row>
    <row r="130" spans="1:11" x14ac:dyDescent="0.4">
      <c r="A130" s="4" t="s">
        <v>55</v>
      </c>
      <c r="B130" s="4" t="s">
        <v>9</v>
      </c>
      <c r="C130" s="4" t="s">
        <v>20</v>
      </c>
      <c r="D130" s="4" t="str">
        <f>VLOOKUP(data[[#This Row],[Category]],Category.,2,0)</f>
        <v>Sp. &amp; Fi.</v>
      </c>
      <c r="E130" s="4" t="s">
        <v>33</v>
      </c>
      <c r="F130" s="4" t="str">
        <f>VLOOKUP(data[[#This Row],[Product]],Product.,2,0)</f>
        <v>Bicy.</v>
      </c>
      <c r="G130" s="4" t="s">
        <v>22</v>
      </c>
      <c r="H130" s="4" t="str">
        <f>VLOOKUP(data[[#This Row],[State]],State.,2,0)</f>
        <v>NY</v>
      </c>
      <c r="I130" s="4">
        <v>4</v>
      </c>
      <c r="J130" s="4">
        <v>4084.07</v>
      </c>
      <c r="K130" s="4">
        <v>2888.94</v>
      </c>
    </row>
    <row r="131" spans="1:11" x14ac:dyDescent="0.4">
      <c r="A131" s="4" t="s">
        <v>52</v>
      </c>
      <c r="B131" s="4" t="s">
        <v>39</v>
      </c>
      <c r="C131" s="4" t="s">
        <v>20</v>
      </c>
      <c r="D131" s="4" t="str">
        <f>VLOOKUP(data[[#This Row],[Category]],Category.,2,0)</f>
        <v>Sp. &amp; Fi.</v>
      </c>
      <c r="E131" s="4" t="s">
        <v>42</v>
      </c>
      <c r="F131" s="4" t="str">
        <f>VLOOKUP(data[[#This Row],[Product]],Product.,2,0)</f>
        <v>Dumb.</v>
      </c>
      <c r="G131" s="4" t="s">
        <v>34</v>
      </c>
      <c r="H131" s="4" t="str">
        <f>VLOOKUP(data[[#This Row],[State]],State.,2,0)</f>
        <v>IL</v>
      </c>
      <c r="I131" s="4">
        <v>2</v>
      </c>
      <c r="J131" s="4">
        <v>933.26</v>
      </c>
      <c r="K131" s="4">
        <v>509.09</v>
      </c>
    </row>
    <row r="132" spans="1:11" x14ac:dyDescent="0.4">
      <c r="A132" s="4" t="s">
        <v>52</v>
      </c>
      <c r="B132" s="4" t="s">
        <v>30</v>
      </c>
      <c r="C132" s="4" t="s">
        <v>15</v>
      </c>
      <c r="D132" s="4" t="str">
        <f>VLOOKUP(data[[#This Row],[Category]],Category.,2,0)</f>
        <v>Cloth.</v>
      </c>
      <c r="E132" s="4" t="s">
        <v>27</v>
      </c>
      <c r="F132" s="4" t="str">
        <f>VLOOKUP(data[[#This Row],[Product]],Product.,2,0)</f>
        <v>Jack.</v>
      </c>
      <c r="G132" s="4" t="s">
        <v>22</v>
      </c>
      <c r="H132" s="4" t="str">
        <f>VLOOKUP(data[[#This Row],[State]],State.,2,0)</f>
        <v>NY</v>
      </c>
      <c r="I132" s="4">
        <v>5</v>
      </c>
      <c r="J132" s="4">
        <v>2900.45</v>
      </c>
      <c r="K132" s="4">
        <v>18.82</v>
      </c>
    </row>
    <row r="133" spans="1:11" x14ac:dyDescent="0.4">
      <c r="A133" s="4" t="s">
        <v>52</v>
      </c>
      <c r="B133" s="4" t="s">
        <v>9</v>
      </c>
      <c r="C133" s="4" t="s">
        <v>35</v>
      </c>
      <c r="D133" s="4" t="str">
        <f>VLOOKUP(data[[#This Row],[Category]],Category.,2,0)</f>
        <v>Ho. Ap.</v>
      </c>
      <c r="E133" s="4" t="s">
        <v>50</v>
      </c>
      <c r="F133" s="4" t="str">
        <f>VLOOKUP(data[[#This Row],[Product]],Product.,2,0)</f>
        <v>Refr.</v>
      </c>
      <c r="G133" s="4" t="s">
        <v>28</v>
      </c>
      <c r="H133" s="4" t="str">
        <f>VLOOKUP(data[[#This Row],[State]],State.,2,0)</f>
        <v>FL</v>
      </c>
      <c r="I133" s="4">
        <v>1</v>
      </c>
      <c r="J133" s="4">
        <v>5890.36</v>
      </c>
      <c r="K133" s="4">
        <v>371.14</v>
      </c>
    </row>
    <row r="134" spans="1:11" x14ac:dyDescent="0.4">
      <c r="A134" s="4" t="s">
        <v>18</v>
      </c>
      <c r="B134" s="4" t="s">
        <v>39</v>
      </c>
      <c r="C134" s="4" t="s">
        <v>10</v>
      </c>
      <c r="D134" s="4" t="str">
        <f>VLOOKUP(data[[#This Row],[Category]],Category.,2,0)</f>
        <v>Electr.</v>
      </c>
      <c r="E134" s="4" t="s">
        <v>11</v>
      </c>
      <c r="F134" s="4" t="str">
        <f>VLOOKUP(data[[#This Row],[Product]],Product.,2,0)</f>
        <v>Smar.</v>
      </c>
      <c r="G134" s="4" t="s">
        <v>12</v>
      </c>
      <c r="H134" s="4" t="str">
        <f>VLOOKUP(data[[#This Row],[State]],State.,2,0)</f>
        <v>CL</v>
      </c>
      <c r="I134" s="4">
        <v>2</v>
      </c>
      <c r="J134" s="4">
        <v>6569.98</v>
      </c>
      <c r="K134" s="4">
        <v>3789.26</v>
      </c>
    </row>
    <row r="135" spans="1:11" x14ac:dyDescent="0.4">
      <c r="A135" s="4" t="s">
        <v>26</v>
      </c>
      <c r="B135" s="4" t="s">
        <v>19</v>
      </c>
      <c r="C135" s="4" t="s">
        <v>10</v>
      </c>
      <c r="D135" s="4" t="str">
        <f>VLOOKUP(data[[#This Row],[Category]],Category.,2,0)</f>
        <v>Electr.</v>
      </c>
      <c r="E135" s="4" t="s">
        <v>54</v>
      </c>
      <c r="F135" s="4" t="str">
        <f>VLOOKUP(data[[#This Row],[Product]],Product.,2,0)</f>
        <v>Lapt.</v>
      </c>
      <c r="G135" s="4" t="s">
        <v>12</v>
      </c>
      <c r="H135" s="4" t="str">
        <f>VLOOKUP(data[[#This Row],[State]],State.,2,0)</f>
        <v>CL</v>
      </c>
      <c r="I135" s="4">
        <v>1</v>
      </c>
      <c r="J135" s="4">
        <v>8306.7000000000007</v>
      </c>
      <c r="K135" s="4">
        <v>2662.93</v>
      </c>
    </row>
    <row r="136" spans="1:11" x14ac:dyDescent="0.4">
      <c r="A136" s="4" t="s">
        <v>37</v>
      </c>
      <c r="B136" s="4" t="s">
        <v>9</v>
      </c>
      <c r="C136" s="4" t="s">
        <v>24</v>
      </c>
      <c r="D136" s="4" t="str">
        <f>VLOOKUP(data[[#This Row],[Category]],Category.,2,0)</f>
        <v>Fo. &amp; Be.</v>
      </c>
      <c r="E136" s="4" t="s">
        <v>45</v>
      </c>
      <c r="F136" s="4" t="str">
        <f>VLOOKUP(data[[#This Row],[Product]],Product.,2,0)</f>
        <v>Tea.</v>
      </c>
      <c r="G136" s="4" t="s">
        <v>48</v>
      </c>
      <c r="H136" s="4" t="str">
        <f>VLOOKUP(data[[#This Row],[State]],State.,2,0)</f>
        <v>PN</v>
      </c>
      <c r="I136" s="4">
        <v>5</v>
      </c>
      <c r="J136" s="4">
        <v>3571.72</v>
      </c>
      <c r="K136" s="4">
        <v>152.5</v>
      </c>
    </row>
    <row r="137" spans="1:11" x14ac:dyDescent="0.4">
      <c r="A137" s="4" t="s">
        <v>55</v>
      </c>
      <c r="B137" s="4" t="s">
        <v>30</v>
      </c>
      <c r="C137" s="4" t="s">
        <v>10</v>
      </c>
      <c r="D137" s="4" t="str">
        <f>VLOOKUP(data[[#This Row],[Category]],Category.,2,0)</f>
        <v>Electr.</v>
      </c>
      <c r="E137" s="4" t="s">
        <v>51</v>
      </c>
      <c r="F137" s="4" t="str">
        <f>VLOOKUP(data[[#This Row],[Product]],Product.,2,0)</f>
        <v>Came.</v>
      </c>
      <c r="G137" s="4" t="s">
        <v>12</v>
      </c>
      <c r="H137" s="4" t="str">
        <f>VLOOKUP(data[[#This Row],[State]],State.,2,0)</f>
        <v>CL</v>
      </c>
      <c r="I137" s="4">
        <v>5</v>
      </c>
      <c r="J137" s="4">
        <v>5441.76</v>
      </c>
      <c r="K137" s="4">
        <v>531.24</v>
      </c>
    </row>
    <row r="138" spans="1:11" x14ac:dyDescent="0.4">
      <c r="A138" s="4" t="s">
        <v>8</v>
      </c>
      <c r="B138" s="4" t="s">
        <v>39</v>
      </c>
      <c r="C138" s="4" t="s">
        <v>24</v>
      </c>
      <c r="D138" s="4" t="str">
        <f>VLOOKUP(data[[#This Row],[Category]],Category.,2,0)</f>
        <v>Fo. &amp; Be.</v>
      </c>
      <c r="E138" s="4" t="s">
        <v>31</v>
      </c>
      <c r="F138" s="4" t="str">
        <f>VLOOKUP(data[[#This Row],[Product]],Product.,2,0)</f>
        <v>Juic.</v>
      </c>
      <c r="G138" s="4" t="s">
        <v>34</v>
      </c>
      <c r="H138" s="4" t="str">
        <f>VLOOKUP(data[[#This Row],[State]],State.,2,0)</f>
        <v>IL</v>
      </c>
      <c r="I138" s="4">
        <v>3</v>
      </c>
      <c r="J138" s="4">
        <v>5487.68</v>
      </c>
      <c r="K138" s="4">
        <v>818.16</v>
      </c>
    </row>
    <row r="139" spans="1:11" x14ac:dyDescent="0.4">
      <c r="A139" s="4" t="s">
        <v>55</v>
      </c>
      <c r="B139" s="4" t="s">
        <v>32</v>
      </c>
      <c r="C139" s="4" t="s">
        <v>35</v>
      </c>
      <c r="D139" s="4" t="str">
        <f>VLOOKUP(data[[#This Row],[Category]],Category.,2,0)</f>
        <v>Ho. Ap.</v>
      </c>
      <c r="E139" s="4" t="s">
        <v>36</v>
      </c>
      <c r="F139" s="4" t="str">
        <f>VLOOKUP(data[[#This Row],[Product]],Product.,2,0)</f>
        <v>Micr.</v>
      </c>
      <c r="G139" s="4" t="s">
        <v>34</v>
      </c>
      <c r="H139" s="4" t="str">
        <f>VLOOKUP(data[[#This Row],[State]],State.,2,0)</f>
        <v>IL</v>
      </c>
      <c r="I139" s="4">
        <v>1</v>
      </c>
      <c r="J139" s="4">
        <v>1470.28</v>
      </c>
      <c r="K139" s="4">
        <v>934.06</v>
      </c>
    </row>
    <row r="140" spans="1:11" x14ac:dyDescent="0.4">
      <c r="A140" s="4" t="s">
        <v>23</v>
      </c>
      <c r="B140" s="4" t="s">
        <v>9</v>
      </c>
      <c r="C140" s="4" t="s">
        <v>15</v>
      </c>
      <c r="D140" s="4" t="str">
        <f>VLOOKUP(data[[#This Row],[Category]],Category.,2,0)</f>
        <v>Cloth.</v>
      </c>
      <c r="E140" s="4" t="s">
        <v>16</v>
      </c>
      <c r="F140" s="4" t="str">
        <f>VLOOKUP(data[[#This Row],[Product]],Product.,2,0)</f>
        <v>Jean.</v>
      </c>
      <c r="G140" s="4" t="s">
        <v>28</v>
      </c>
      <c r="H140" s="4" t="str">
        <f>VLOOKUP(data[[#This Row],[State]],State.,2,0)</f>
        <v>FL</v>
      </c>
      <c r="I140" s="4">
        <v>2</v>
      </c>
      <c r="J140" s="4">
        <v>4247.75</v>
      </c>
      <c r="K140" s="4">
        <v>1950.02</v>
      </c>
    </row>
    <row r="141" spans="1:11" x14ac:dyDescent="0.4">
      <c r="A141" s="4" t="s">
        <v>18</v>
      </c>
      <c r="B141" s="4" t="s">
        <v>9</v>
      </c>
      <c r="C141" s="4" t="s">
        <v>35</v>
      </c>
      <c r="D141" s="4" t="str">
        <f>VLOOKUP(data[[#This Row],[Category]],Category.,2,0)</f>
        <v>Ho. Ap.</v>
      </c>
      <c r="E141" s="4" t="s">
        <v>57</v>
      </c>
      <c r="F141" s="4" t="str">
        <f>VLOOKUP(data[[#This Row],[Product]],Product.,2,0)</f>
        <v>Toas.</v>
      </c>
      <c r="G141" s="4" t="s">
        <v>48</v>
      </c>
      <c r="H141" s="4" t="str">
        <f>VLOOKUP(data[[#This Row],[State]],State.,2,0)</f>
        <v>PN</v>
      </c>
      <c r="I141" s="4">
        <v>1</v>
      </c>
      <c r="J141" s="4">
        <v>3686.64</v>
      </c>
      <c r="K141" s="4">
        <v>187.65</v>
      </c>
    </row>
    <row r="142" spans="1:11" x14ac:dyDescent="0.4">
      <c r="A142" s="4" t="s">
        <v>37</v>
      </c>
      <c r="B142" s="4" t="s">
        <v>9</v>
      </c>
      <c r="C142" s="4" t="s">
        <v>24</v>
      </c>
      <c r="D142" s="4" t="str">
        <f>VLOOKUP(data[[#This Row],[Category]],Category.,2,0)</f>
        <v>Fo. &amp; Be.</v>
      </c>
      <c r="E142" s="4" t="s">
        <v>25</v>
      </c>
      <c r="F142" s="4" t="str">
        <f>VLOOKUP(data[[#This Row],[Product]],Product.,2,0)</f>
        <v>Snac.</v>
      </c>
      <c r="G142" s="4" t="s">
        <v>34</v>
      </c>
      <c r="H142" s="4" t="str">
        <f>VLOOKUP(data[[#This Row],[State]],State.,2,0)</f>
        <v>IL</v>
      </c>
      <c r="I142" s="4">
        <v>3</v>
      </c>
      <c r="J142" s="4">
        <v>5623.85</v>
      </c>
      <c r="K142" s="4">
        <v>612.91</v>
      </c>
    </row>
    <row r="143" spans="1:11" x14ac:dyDescent="0.4">
      <c r="A143" s="4" t="s">
        <v>13</v>
      </c>
      <c r="B143" s="4" t="s">
        <v>14</v>
      </c>
      <c r="C143" s="4" t="s">
        <v>10</v>
      </c>
      <c r="D143" s="4" t="str">
        <f>VLOOKUP(data[[#This Row],[Category]],Category.,2,0)</f>
        <v>Electr.</v>
      </c>
      <c r="E143" s="4" t="s">
        <v>54</v>
      </c>
      <c r="F143" s="4" t="str">
        <f>VLOOKUP(data[[#This Row],[Product]],Product.,2,0)</f>
        <v>Lapt.</v>
      </c>
      <c r="G143" s="4" t="s">
        <v>17</v>
      </c>
      <c r="H143" s="4" t="str">
        <f>VLOOKUP(data[[#This Row],[State]],State.,2,0)</f>
        <v>TX</v>
      </c>
      <c r="I143" s="4">
        <v>4</v>
      </c>
      <c r="J143" s="4">
        <v>177.48</v>
      </c>
      <c r="K143" s="4">
        <v>125.73</v>
      </c>
    </row>
    <row r="144" spans="1:11" x14ac:dyDescent="0.4">
      <c r="A144" s="4" t="s">
        <v>29</v>
      </c>
      <c r="B144" s="4" t="s">
        <v>19</v>
      </c>
      <c r="C144" s="4" t="s">
        <v>20</v>
      </c>
      <c r="D144" s="4" t="str">
        <f>VLOOKUP(data[[#This Row],[Category]],Category.,2,0)</f>
        <v>Sp. &amp; Fi.</v>
      </c>
      <c r="E144" s="4" t="s">
        <v>42</v>
      </c>
      <c r="F144" s="4" t="str">
        <f>VLOOKUP(data[[#This Row],[Product]],Product.,2,0)</f>
        <v>Dumb.</v>
      </c>
      <c r="G144" s="4" t="s">
        <v>28</v>
      </c>
      <c r="H144" s="4" t="str">
        <f>VLOOKUP(data[[#This Row],[State]],State.,2,0)</f>
        <v>FL</v>
      </c>
      <c r="I144" s="4">
        <v>2</v>
      </c>
      <c r="J144" s="4">
        <v>3789.4</v>
      </c>
      <c r="K144" s="4">
        <v>898.71</v>
      </c>
    </row>
    <row r="145" spans="1:11" x14ac:dyDescent="0.4">
      <c r="A145" s="4" t="s">
        <v>40</v>
      </c>
      <c r="B145" s="4" t="s">
        <v>49</v>
      </c>
      <c r="C145" s="4" t="s">
        <v>24</v>
      </c>
      <c r="D145" s="4" t="str">
        <f>VLOOKUP(data[[#This Row],[Category]],Category.,2,0)</f>
        <v>Fo. &amp; Be.</v>
      </c>
      <c r="E145" s="4" t="s">
        <v>45</v>
      </c>
      <c r="F145" s="4" t="str">
        <f>VLOOKUP(data[[#This Row],[Product]],Product.,2,0)</f>
        <v>Tea.</v>
      </c>
      <c r="G145" s="4" t="s">
        <v>48</v>
      </c>
      <c r="H145" s="4" t="str">
        <f>VLOOKUP(data[[#This Row],[State]],State.,2,0)</f>
        <v>PN</v>
      </c>
      <c r="I145" s="4">
        <v>4</v>
      </c>
      <c r="J145" s="4">
        <v>3978.59</v>
      </c>
      <c r="K145" s="4">
        <v>1547.92</v>
      </c>
    </row>
    <row r="146" spans="1:11" x14ac:dyDescent="0.4">
      <c r="A146" s="4" t="s">
        <v>38</v>
      </c>
      <c r="B146" s="4" t="s">
        <v>30</v>
      </c>
      <c r="C146" s="4" t="s">
        <v>35</v>
      </c>
      <c r="D146" s="4" t="str">
        <f>VLOOKUP(data[[#This Row],[Category]],Category.,2,0)</f>
        <v>Ho. Ap.</v>
      </c>
      <c r="E146" s="4" t="s">
        <v>57</v>
      </c>
      <c r="F146" s="4" t="str">
        <f>VLOOKUP(data[[#This Row],[Product]],Product.,2,0)</f>
        <v>Toas.</v>
      </c>
      <c r="G146" s="4" t="s">
        <v>12</v>
      </c>
      <c r="H146" s="4" t="str">
        <f>VLOOKUP(data[[#This Row],[State]],State.,2,0)</f>
        <v>CL</v>
      </c>
      <c r="I146" s="4">
        <v>5</v>
      </c>
      <c r="J146" s="4">
        <v>3113.91</v>
      </c>
      <c r="K146" s="4">
        <v>1677.53</v>
      </c>
    </row>
    <row r="147" spans="1:11" x14ac:dyDescent="0.4">
      <c r="A147" s="4" t="s">
        <v>55</v>
      </c>
      <c r="B147" s="4" t="s">
        <v>49</v>
      </c>
      <c r="C147" s="4" t="s">
        <v>24</v>
      </c>
      <c r="D147" s="4" t="str">
        <f>VLOOKUP(data[[#This Row],[Category]],Category.,2,0)</f>
        <v>Fo. &amp; Be.</v>
      </c>
      <c r="E147" s="4" t="s">
        <v>56</v>
      </c>
      <c r="F147" s="4" t="str">
        <f>VLOOKUP(data[[#This Row],[Product]],Product.,2,0)</f>
        <v>Coff.</v>
      </c>
      <c r="G147" s="4" t="s">
        <v>28</v>
      </c>
      <c r="H147" s="4" t="str">
        <f>VLOOKUP(data[[#This Row],[State]],State.,2,0)</f>
        <v>FL</v>
      </c>
      <c r="I147" s="4">
        <v>1</v>
      </c>
      <c r="J147" s="4">
        <v>7246.84</v>
      </c>
      <c r="K147" s="4">
        <v>6341.08</v>
      </c>
    </row>
    <row r="148" spans="1:11" x14ac:dyDescent="0.4">
      <c r="A148" s="4" t="s">
        <v>29</v>
      </c>
      <c r="B148" s="4" t="s">
        <v>14</v>
      </c>
      <c r="C148" s="4" t="s">
        <v>15</v>
      </c>
      <c r="D148" s="4" t="str">
        <f>VLOOKUP(data[[#This Row],[Category]],Category.,2,0)</f>
        <v>Cloth.</v>
      </c>
      <c r="E148" s="4" t="s">
        <v>27</v>
      </c>
      <c r="F148" s="4" t="str">
        <f>VLOOKUP(data[[#This Row],[Product]],Product.,2,0)</f>
        <v>Jack.</v>
      </c>
      <c r="G148" s="4" t="s">
        <v>12</v>
      </c>
      <c r="H148" s="4" t="str">
        <f>VLOOKUP(data[[#This Row],[State]],State.,2,0)</f>
        <v>CL</v>
      </c>
      <c r="I148" s="4">
        <v>3</v>
      </c>
      <c r="J148" s="4">
        <v>1732.96</v>
      </c>
      <c r="K148" s="4">
        <v>841.81</v>
      </c>
    </row>
    <row r="149" spans="1:11" x14ac:dyDescent="0.4">
      <c r="A149" s="4" t="s">
        <v>23</v>
      </c>
      <c r="B149" s="4" t="s">
        <v>9</v>
      </c>
      <c r="C149" s="4" t="s">
        <v>10</v>
      </c>
      <c r="D149" s="4" t="str">
        <f>VLOOKUP(data[[#This Row],[Category]],Category.,2,0)</f>
        <v>Electr.</v>
      </c>
      <c r="E149" s="4" t="s">
        <v>54</v>
      </c>
      <c r="F149" s="4" t="str">
        <f>VLOOKUP(data[[#This Row],[Product]],Product.,2,0)</f>
        <v>Lapt.</v>
      </c>
      <c r="G149" s="4" t="s">
        <v>28</v>
      </c>
      <c r="H149" s="4" t="str">
        <f>VLOOKUP(data[[#This Row],[State]],State.,2,0)</f>
        <v>FL</v>
      </c>
      <c r="I149" s="4">
        <v>5</v>
      </c>
      <c r="J149" s="4">
        <v>2353.96</v>
      </c>
      <c r="K149" s="4">
        <v>234.17</v>
      </c>
    </row>
    <row r="150" spans="1:11" x14ac:dyDescent="0.4">
      <c r="A150" s="4" t="s">
        <v>40</v>
      </c>
      <c r="B150" s="4" t="s">
        <v>19</v>
      </c>
      <c r="C150" s="4" t="s">
        <v>24</v>
      </c>
      <c r="D150" s="4" t="str">
        <f>VLOOKUP(data[[#This Row],[Category]],Category.,2,0)</f>
        <v>Fo. &amp; Be.</v>
      </c>
      <c r="E150" s="4" t="s">
        <v>25</v>
      </c>
      <c r="F150" s="4" t="str">
        <f>VLOOKUP(data[[#This Row],[Product]],Product.,2,0)</f>
        <v>Snac.</v>
      </c>
      <c r="G150" s="4" t="s">
        <v>22</v>
      </c>
      <c r="H150" s="4" t="str">
        <f>VLOOKUP(data[[#This Row],[State]],State.,2,0)</f>
        <v>NY</v>
      </c>
      <c r="I150" s="4">
        <v>1</v>
      </c>
      <c r="J150" s="4">
        <v>8712.7999999999993</v>
      </c>
      <c r="K150" s="4">
        <v>5509.81</v>
      </c>
    </row>
    <row r="151" spans="1:11" x14ac:dyDescent="0.4">
      <c r="A151" s="4" t="s">
        <v>41</v>
      </c>
      <c r="B151" s="4" t="s">
        <v>14</v>
      </c>
      <c r="C151" s="4" t="s">
        <v>20</v>
      </c>
      <c r="D151" s="4" t="str">
        <f>VLOOKUP(data[[#This Row],[Category]],Category.,2,0)</f>
        <v>Sp. &amp; Fi.</v>
      </c>
      <c r="E151" s="4" t="s">
        <v>53</v>
      </c>
      <c r="F151" s="4" t="str">
        <f>VLOOKUP(data[[#This Row],[Product]],Product.,2,0)</f>
        <v>Trea.</v>
      </c>
      <c r="G151" s="4" t="s">
        <v>12</v>
      </c>
      <c r="H151" s="4" t="str">
        <f>VLOOKUP(data[[#This Row],[State]],State.,2,0)</f>
        <v>CL</v>
      </c>
      <c r="I151" s="4">
        <v>1</v>
      </c>
      <c r="J151" s="4">
        <v>3338.63</v>
      </c>
      <c r="K151" s="4">
        <v>907.11</v>
      </c>
    </row>
    <row r="152" spans="1:11" x14ac:dyDescent="0.4">
      <c r="A152" s="4" t="s">
        <v>26</v>
      </c>
      <c r="B152" s="4" t="s">
        <v>9</v>
      </c>
      <c r="C152" s="4" t="s">
        <v>10</v>
      </c>
      <c r="D152" s="4" t="str">
        <f>VLOOKUP(data[[#This Row],[Category]],Category.,2,0)</f>
        <v>Electr.</v>
      </c>
      <c r="E152" s="4" t="s">
        <v>11</v>
      </c>
      <c r="F152" s="4" t="str">
        <f>VLOOKUP(data[[#This Row],[Product]],Product.,2,0)</f>
        <v>Smar.</v>
      </c>
      <c r="G152" s="4" t="s">
        <v>34</v>
      </c>
      <c r="H152" s="4" t="str">
        <f>VLOOKUP(data[[#This Row],[State]],State.,2,0)</f>
        <v>IL</v>
      </c>
      <c r="I152" s="4">
        <v>1</v>
      </c>
      <c r="J152" s="4">
        <v>9974.5499999999993</v>
      </c>
      <c r="K152" s="4">
        <v>6660.93</v>
      </c>
    </row>
    <row r="153" spans="1:11" x14ac:dyDescent="0.4">
      <c r="A153" s="4" t="s">
        <v>41</v>
      </c>
      <c r="B153" s="4" t="s">
        <v>32</v>
      </c>
      <c r="C153" s="4" t="s">
        <v>20</v>
      </c>
      <c r="D153" s="4" t="str">
        <f>VLOOKUP(data[[#This Row],[Category]],Category.,2,0)</f>
        <v>Sp. &amp; Fi.</v>
      </c>
      <c r="E153" s="4" t="s">
        <v>33</v>
      </c>
      <c r="F153" s="4" t="str">
        <f>VLOOKUP(data[[#This Row],[Product]],Product.,2,0)</f>
        <v>Bicy.</v>
      </c>
      <c r="G153" s="4" t="s">
        <v>12</v>
      </c>
      <c r="H153" s="4" t="str">
        <f>VLOOKUP(data[[#This Row],[State]],State.,2,0)</f>
        <v>CL</v>
      </c>
      <c r="I153" s="4">
        <v>4</v>
      </c>
      <c r="J153" s="4">
        <v>105.17</v>
      </c>
      <c r="K153" s="4">
        <v>48.49</v>
      </c>
    </row>
    <row r="154" spans="1:11" x14ac:dyDescent="0.4">
      <c r="A154" s="4" t="s">
        <v>8</v>
      </c>
      <c r="B154" s="4" t="s">
        <v>19</v>
      </c>
      <c r="C154" s="4" t="s">
        <v>35</v>
      </c>
      <c r="D154" s="4" t="str">
        <f>VLOOKUP(data[[#This Row],[Category]],Category.,2,0)</f>
        <v>Ho. Ap.</v>
      </c>
      <c r="E154" s="4" t="s">
        <v>50</v>
      </c>
      <c r="F154" s="4" t="str">
        <f>VLOOKUP(data[[#This Row],[Product]],Product.,2,0)</f>
        <v>Refr.</v>
      </c>
      <c r="G154" s="4" t="s">
        <v>22</v>
      </c>
      <c r="H154" s="4" t="str">
        <f>VLOOKUP(data[[#This Row],[State]],State.,2,0)</f>
        <v>NY</v>
      </c>
      <c r="I154" s="4">
        <v>1</v>
      </c>
      <c r="J154" s="4">
        <v>3730.68</v>
      </c>
      <c r="K154" s="4">
        <v>245.32</v>
      </c>
    </row>
    <row r="155" spans="1:11" x14ac:dyDescent="0.4">
      <c r="A155" s="4" t="s">
        <v>40</v>
      </c>
      <c r="B155" s="4" t="s">
        <v>14</v>
      </c>
      <c r="C155" s="4" t="s">
        <v>35</v>
      </c>
      <c r="D155" s="4" t="str">
        <f>VLOOKUP(data[[#This Row],[Category]],Category.,2,0)</f>
        <v>Ho. Ap.</v>
      </c>
      <c r="E155" s="4" t="s">
        <v>57</v>
      </c>
      <c r="F155" s="4" t="str">
        <f>VLOOKUP(data[[#This Row],[Product]],Product.,2,0)</f>
        <v>Toas.</v>
      </c>
      <c r="G155" s="4" t="s">
        <v>48</v>
      </c>
      <c r="H155" s="4" t="str">
        <f>VLOOKUP(data[[#This Row],[State]],State.,2,0)</f>
        <v>PN</v>
      </c>
      <c r="I155" s="4">
        <v>2</v>
      </c>
      <c r="J155" s="4">
        <v>845.25</v>
      </c>
      <c r="K155" s="4">
        <v>281.74</v>
      </c>
    </row>
    <row r="156" spans="1:11" x14ac:dyDescent="0.4">
      <c r="A156" s="4" t="s">
        <v>8</v>
      </c>
      <c r="B156" s="4" t="s">
        <v>30</v>
      </c>
      <c r="C156" s="4" t="s">
        <v>35</v>
      </c>
      <c r="D156" s="4" t="str">
        <f>VLOOKUP(data[[#This Row],[Category]],Category.,2,0)</f>
        <v>Ho. Ap.</v>
      </c>
      <c r="E156" s="4" t="s">
        <v>50</v>
      </c>
      <c r="F156" s="4" t="str">
        <f>VLOOKUP(data[[#This Row],[Product]],Product.,2,0)</f>
        <v>Refr.</v>
      </c>
      <c r="G156" s="4" t="s">
        <v>17</v>
      </c>
      <c r="H156" s="4" t="str">
        <f>VLOOKUP(data[[#This Row],[State]],State.,2,0)</f>
        <v>TX</v>
      </c>
      <c r="I156" s="4">
        <v>3</v>
      </c>
      <c r="J156" s="4">
        <v>1372.49</v>
      </c>
      <c r="K156" s="4">
        <v>683.4</v>
      </c>
    </row>
    <row r="157" spans="1:11" x14ac:dyDescent="0.4">
      <c r="A157" s="4" t="s">
        <v>23</v>
      </c>
      <c r="B157" s="4" t="s">
        <v>30</v>
      </c>
      <c r="C157" s="4" t="s">
        <v>15</v>
      </c>
      <c r="D157" s="4" t="str">
        <f>VLOOKUP(data[[#This Row],[Category]],Category.,2,0)</f>
        <v>Cloth.</v>
      </c>
      <c r="E157" s="4" t="s">
        <v>27</v>
      </c>
      <c r="F157" s="4" t="str">
        <f>VLOOKUP(data[[#This Row],[Product]],Product.,2,0)</f>
        <v>Jack.</v>
      </c>
      <c r="G157" s="4" t="s">
        <v>17</v>
      </c>
      <c r="H157" s="4" t="str">
        <f>VLOOKUP(data[[#This Row],[State]],State.,2,0)</f>
        <v>TX</v>
      </c>
      <c r="I157" s="4">
        <v>5</v>
      </c>
      <c r="J157" s="4">
        <v>1529.93</v>
      </c>
      <c r="K157" s="4">
        <v>649.89</v>
      </c>
    </row>
    <row r="158" spans="1:11" x14ac:dyDescent="0.4">
      <c r="A158" s="4" t="s">
        <v>40</v>
      </c>
      <c r="B158" s="4" t="s">
        <v>9</v>
      </c>
      <c r="C158" s="4" t="s">
        <v>35</v>
      </c>
      <c r="D158" s="4" t="str">
        <f>VLOOKUP(data[[#This Row],[Category]],Category.,2,0)</f>
        <v>Ho. Ap.</v>
      </c>
      <c r="E158" s="4" t="s">
        <v>36</v>
      </c>
      <c r="F158" s="4" t="str">
        <f>VLOOKUP(data[[#This Row],[Product]],Product.,2,0)</f>
        <v>Micr.</v>
      </c>
      <c r="G158" s="4" t="s">
        <v>12</v>
      </c>
      <c r="H158" s="4" t="str">
        <f>VLOOKUP(data[[#This Row],[State]],State.,2,0)</f>
        <v>CL</v>
      </c>
      <c r="I158" s="4">
        <v>2</v>
      </c>
      <c r="J158" s="4">
        <v>5744.71</v>
      </c>
      <c r="K158" s="4">
        <v>849.52</v>
      </c>
    </row>
    <row r="159" spans="1:11" x14ac:dyDescent="0.4">
      <c r="A159" s="4" t="s">
        <v>26</v>
      </c>
      <c r="B159" s="4" t="s">
        <v>19</v>
      </c>
      <c r="C159" s="4" t="s">
        <v>20</v>
      </c>
      <c r="D159" s="4" t="str">
        <f>VLOOKUP(data[[#This Row],[Category]],Category.,2,0)</f>
        <v>Sp. &amp; Fi.</v>
      </c>
      <c r="E159" s="4" t="s">
        <v>53</v>
      </c>
      <c r="F159" s="4" t="str">
        <f>VLOOKUP(data[[#This Row],[Product]],Product.,2,0)</f>
        <v>Trea.</v>
      </c>
      <c r="G159" s="4" t="s">
        <v>22</v>
      </c>
      <c r="H159" s="4" t="str">
        <f>VLOOKUP(data[[#This Row],[State]],State.,2,0)</f>
        <v>NY</v>
      </c>
      <c r="I159" s="4">
        <v>5</v>
      </c>
      <c r="J159" s="4">
        <v>2089.1</v>
      </c>
      <c r="K159" s="4">
        <v>1146.1199999999999</v>
      </c>
    </row>
    <row r="160" spans="1:11" x14ac:dyDescent="0.4">
      <c r="A160" s="4" t="s">
        <v>52</v>
      </c>
      <c r="B160" s="4" t="s">
        <v>14</v>
      </c>
      <c r="C160" s="4" t="s">
        <v>35</v>
      </c>
      <c r="D160" s="4" t="str">
        <f>VLOOKUP(data[[#This Row],[Category]],Category.,2,0)</f>
        <v>Ho. Ap.</v>
      </c>
      <c r="E160" s="4" t="s">
        <v>50</v>
      </c>
      <c r="F160" s="4" t="str">
        <f>VLOOKUP(data[[#This Row],[Product]],Product.,2,0)</f>
        <v>Refr.</v>
      </c>
      <c r="G160" s="4" t="s">
        <v>48</v>
      </c>
      <c r="H160" s="4" t="str">
        <f>VLOOKUP(data[[#This Row],[State]],State.,2,0)</f>
        <v>PN</v>
      </c>
      <c r="I160" s="4">
        <v>5</v>
      </c>
      <c r="J160" s="4">
        <v>4865.1099999999997</v>
      </c>
      <c r="K160" s="4">
        <v>3032.02</v>
      </c>
    </row>
    <row r="161" spans="1:11" x14ac:dyDescent="0.4">
      <c r="A161" s="4" t="s">
        <v>18</v>
      </c>
      <c r="B161" s="4" t="s">
        <v>14</v>
      </c>
      <c r="C161" s="4" t="s">
        <v>20</v>
      </c>
      <c r="D161" s="4" t="str">
        <f>VLOOKUP(data[[#This Row],[Category]],Category.,2,0)</f>
        <v>Sp. &amp; Fi.</v>
      </c>
      <c r="E161" s="4" t="s">
        <v>53</v>
      </c>
      <c r="F161" s="4" t="str">
        <f>VLOOKUP(data[[#This Row],[Product]],Product.,2,0)</f>
        <v>Trea.</v>
      </c>
      <c r="G161" s="4" t="s">
        <v>48</v>
      </c>
      <c r="H161" s="4" t="str">
        <f>VLOOKUP(data[[#This Row],[State]],State.,2,0)</f>
        <v>PN</v>
      </c>
      <c r="I161" s="4">
        <v>3</v>
      </c>
      <c r="J161" s="4">
        <v>9241.23</v>
      </c>
      <c r="K161" s="4">
        <v>3388.77</v>
      </c>
    </row>
    <row r="162" spans="1:11" x14ac:dyDescent="0.4">
      <c r="A162" s="4" t="s">
        <v>38</v>
      </c>
      <c r="B162" s="4" t="s">
        <v>19</v>
      </c>
      <c r="C162" s="4" t="s">
        <v>10</v>
      </c>
      <c r="D162" s="4" t="str">
        <f>VLOOKUP(data[[#This Row],[Category]],Category.,2,0)</f>
        <v>Electr.</v>
      </c>
      <c r="E162" s="4" t="s">
        <v>54</v>
      </c>
      <c r="F162" s="4" t="str">
        <f>VLOOKUP(data[[#This Row],[Product]],Product.,2,0)</f>
        <v>Lapt.</v>
      </c>
      <c r="G162" s="4" t="s">
        <v>12</v>
      </c>
      <c r="H162" s="4" t="str">
        <f>VLOOKUP(data[[#This Row],[State]],State.,2,0)</f>
        <v>CL</v>
      </c>
      <c r="I162" s="4">
        <v>3</v>
      </c>
      <c r="J162" s="4">
        <v>736.99</v>
      </c>
      <c r="K162" s="4">
        <v>342.46</v>
      </c>
    </row>
    <row r="163" spans="1:11" x14ac:dyDescent="0.4">
      <c r="A163" s="4" t="s">
        <v>26</v>
      </c>
      <c r="B163" s="4" t="s">
        <v>30</v>
      </c>
      <c r="C163" s="4" t="s">
        <v>20</v>
      </c>
      <c r="D163" s="4" t="str">
        <f>VLOOKUP(data[[#This Row],[Category]],Category.,2,0)</f>
        <v>Sp. &amp; Fi.</v>
      </c>
      <c r="E163" s="4" t="s">
        <v>33</v>
      </c>
      <c r="F163" s="4" t="str">
        <f>VLOOKUP(data[[#This Row],[Product]],Product.,2,0)</f>
        <v>Bicy.</v>
      </c>
      <c r="G163" s="4" t="s">
        <v>22</v>
      </c>
      <c r="H163" s="4" t="str">
        <f>VLOOKUP(data[[#This Row],[State]],State.,2,0)</f>
        <v>NY</v>
      </c>
      <c r="I163" s="4">
        <v>1</v>
      </c>
      <c r="J163" s="4">
        <v>4381.41</v>
      </c>
      <c r="K163" s="4">
        <v>3161.78</v>
      </c>
    </row>
    <row r="164" spans="1:11" x14ac:dyDescent="0.4">
      <c r="A164" s="4" t="s">
        <v>52</v>
      </c>
      <c r="B164" s="4" t="s">
        <v>32</v>
      </c>
      <c r="C164" s="4" t="s">
        <v>24</v>
      </c>
      <c r="D164" s="4" t="str">
        <f>VLOOKUP(data[[#This Row],[Category]],Category.,2,0)</f>
        <v>Fo. &amp; Be.</v>
      </c>
      <c r="E164" s="4" t="s">
        <v>45</v>
      </c>
      <c r="F164" s="4" t="str">
        <f>VLOOKUP(data[[#This Row],[Product]],Product.,2,0)</f>
        <v>Tea.</v>
      </c>
      <c r="G164" s="4" t="s">
        <v>12</v>
      </c>
      <c r="H164" s="4" t="str">
        <f>VLOOKUP(data[[#This Row],[State]],State.,2,0)</f>
        <v>CL</v>
      </c>
      <c r="I164" s="4">
        <v>4</v>
      </c>
      <c r="J164" s="4">
        <v>8924.4500000000007</v>
      </c>
      <c r="K164" s="4">
        <v>6743.86</v>
      </c>
    </row>
    <row r="165" spans="1:11" x14ac:dyDescent="0.4">
      <c r="A165" s="4" t="s">
        <v>40</v>
      </c>
      <c r="B165" s="4" t="s">
        <v>32</v>
      </c>
      <c r="C165" s="4" t="s">
        <v>10</v>
      </c>
      <c r="D165" s="4" t="str">
        <f>VLOOKUP(data[[#This Row],[Category]],Category.,2,0)</f>
        <v>Electr.</v>
      </c>
      <c r="E165" s="4" t="s">
        <v>54</v>
      </c>
      <c r="F165" s="4" t="str">
        <f>VLOOKUP(data[[#This Row],[Product]],Product.,2,0)</f>
        <v>Lapt.</v>
      </c>
      <c r="G165" s="4" t="s">
        <v>22</v>
      </c>
      <c r="H165" s="4" t="str">
        <f>VLOOKUP(data[[#This Row],[State]],State.,2,0)</f>
        <v>NY</v>
      </c>
      <c r="I165" s="4">
        <v>2</v>
      </c>
      <c r="J165" s="4">
        <v>4647.5</v>
      </c>
      <c r="K165" s="4">
        <v>1411.03</v>
      </c>
    </row>
    <row r="166" spans="1:11" x14ac:dyDescent="0.4">
      <c r="A166" s="4" t="s">
        <v>37</v>
      </c>
      <c r="B166" s="4" t="s">
        <v>30</v>
      </c>
      <c r="C166" s="4" t="s">
        <v>20</v>
      </c>
      <c r="D166" s="4" t="str">
        <f>VLOOKUP(data[[#This Row],[Category]],Category.,2,0)</f>
        <v>Sp. &amp; Fi.</v>
      </c>
      <c r="E166" s="4" t="s">
        <v>42</v>
      </c>
      <c r="F166" s="4" t="str">
        <f>VLOOKUP(data[[#This Row],[Product]],Product.,2,0)</f>
        <v>Dumb.</v>
      </c>
      <c r="G166" s="4" t="s">
        <v>22</v>
      </c>
      <c r="H166" s="4" t="str">
        <f>VLOOKUP(data[[#This Row],[State]],State.,2,0)</f>
        <v>NY</v>
      </c>
      <c r="I166" s="4">
        <v>4</v>
      </c>
      <c r="J166" s="4">
        <v>646.21</v>
      </c>
      <c r="K166" s="4">
        <v>179.19</v>
      </c>
    </row>
    <row r="167" spans="1:11" x14ac:dyDescent="0.4">
      <c r="A167" s="4" t="s">
        <v>55</v>
      </c>
      <c r="B167" s="4" t="s">
        <v>9</v>
      </c>
      <c r="C167" s="4" t="s">
        <v>20</v>
      </c>
      <c r="D167" s="4" t="str">
        <f>VLOOKUP(data[[#This Row],[Category]],Category.,2,0)</f>
        <v>Sp. &amp; Fi.</v>
      </c>
      <c r="E167" s="4" t="s">
        <v>42</v>
      </c>
      <c r="F167" s="4" t="str">
        <f>VLOOKUP(data[[#This Row],[Product]],Product.,2,0)</f>
        <v>Dumb.</v>
      </c>
      <c r="G167" s="4" t="s">
        <v>34</v>
      </c>
      <c r="H167" s="4" t="str">
        <f>VLOOKUP(data[[#This Row],[State]],State.,2,0)</f>
        <v>IL</v>
      </c>
      <c r="I167" s="4">
        <v>5</v>
      </c>
      <c r="J167" s="4">
        <v>7231.93</v>
      </c>
      <c r="K167" s="4">
        <v>5585.13</v>
      </c>
    </row>
    <row r="168" spans="1:11" x14ac:dyDescent="0.4">
      <c r="A168" s="4" t="s">
        <v>8</v>
      </c>
      <c r="B168" s="4" t="s">
        <v>32</v>
      </c>
      <c r="C168" s="4" t="s">
        <v>20</v>
      </c>
      <c r="D168" s="4" t="str">
        <f>VLOOKUP(data[[#This Row],[Category]],Category.,2,0)</f>
        <v>Sp. &amp; Fi.</v>
      </c>
      <c r="E168" s="4" t="s">
        <v>21</v>
      </c>
      <c r="F168" s="4" t="str">
        <f>VLOOKUP(data[[#This Row],[Product]],Product.,2,0)</f>
        <v>Yoga.</v>
      </c>
      <c r="G168" s="4" t="s">
        <v>12</v>
      </c>
      <c r="H168" s="4" t="str">
        <f>VLOOKUP(data[[#This Row],[State]],State.,2,0)</f>
        <v>CL</v>
      </c>
      <c r="I168" s="4">
        <v>3</v>
      </c>
      <c r="J168" s="4">
        <v>5540.59</v>
      </c>
      <c r="K168" s="4">
        <v>3996.05</v>
      </c>
    </row>
    <row r="169" spans="1:11" x14ac:dyDescent="0.4">
      <c r="A169" s="4" t="s">
        <v>26</v>
      </c>
      <c r="B169" s="4" t="s">
        <v>9</v>
      </c>
      <c r="C169" s="4" t="s">
        <v>10</v>
      </c>
      <c r="D169" s="4" t="str">
        <f>VLOOKUP(data[[#This Row],[Category]],Category.,2,0)</f>
        <v>Electr.</v>
      </c>
      <c r="E169" s="4" t="s">
        <v>51</v>
      </c>
      <c r="F169" s="4" t="str">
        <f>VLOOKUP(data[[#This Row],[Product]],Product.,2,0)</f>
        <v>Came.</v>
      </c>
      <c r="G169" s="4" t="s">
        <v>48</v>
      </c>
      <c r="H169" s="4" t="str">
        <f>VLOOKUP(data[[#This Row],[State]],State.,2,0)</f>
        <v>PN</v>
      </c>
      <c r="I169" s="4">
        <v>4</v>
      </c>
      <c r="J169" s="4">
        <v>9072.49</v>
      </c>
      <c r="K169" s="4">
        <v>301.48</v>
      </c>
    </row>
    <row r="170" spans="1:11" x14ac:dyDescent="0.4">
      <c r="A170" s="4" t="s">
        <v>52</v>
      </c>
      <c r="B170" s="4" t="s">
        <v>14</v>
      </c>
      <c r="C170" s="4" t="s">
        <v>24</v>
      </c>
      <c r="D170" s="4" t="str">
        <f>VLOOKUP(data[[#This Row],[Category]],Category.,2,0)</f>
        <v>Fo. &amp; Be.</v>
      </c>
      <c r="E170" s="4" t="s">
        <v>45</v>
      </c>
      <c r="F170" s="4" t="str">
        <f>VLOOKUP(data[[#This Row],[Product]],Product.,2,0)</f>
        <v>Tea.</v>
      </c>
      <c r="G170" s="4" t="s">
        <v>22</v>
      </c>
      <c r="H170" s="4" t="str">
        <f>VLOOKUP(data[[#This Row],[State]],State.,2,0)</f>
        <v>NY</v>
      </c>
      <c r="I170" s="4">
        <v>3</v>
      </c>
      <c r="J170" s="4">
        <v>4720.6000000000004</v>
      </c>
      <c r="K170" s="4">
        <v>3435.36</v>
      </c>
    </row>
    <row r="171" spans="1:11" x14ac:dyDescent="0.4">
      <c r="A171" s="4" t="s">
        <v>41</v>
      </c>
      <c r="B171" s="4" t="s">
        <v>32</v>
      </c>
      <c r="C171" s="4" t="s">
        <v>10</v>
      </c>
      <c r="D171" s="4" t="str">
        <f>VLOOKUP(data[[#This Row],[Category]],Category.,2,0)</f>
        <v>Electr.</v>
      </c>
      <c r="E171" s="4" t="s">
        <v>47</v>
      </c>
      <c r="F171" s="4" t="str">
        <f>VLOOKUP(data[[#This Row],[Product]],Product.,2,0)</f>
        <v>Head.</v>
      </c>
      <c r="G171" s="4" t="s">
        <v>12</v>
      </c>
      <c r="H171" s="4" t="str">
        <f>VLOOKUP(data[[#This Row],[State]],State.,2,0)</f>
        <v>CL</v>
      </c>
      <c r="I171" s="4">
        <v>3</v>
      </c>
      <c r="J171" s="4">
        <v>1649.91</v>
      </c>
      <c r="K171" s="4">
        <v>483.23</v>
      </c>
    </row>
    <row r="172" spans="1:11" x14ac:dyDescent="0.4">
      <c r="A172" s="4" t="s">
        <v>38</v>
      </c>
      <c r="B172" s="4" t="s">
        <v>30</v>
      </c>
      <c r="C172" s="4" t="s">
        <v>20</v>
      </c>
      <c r="D172" s="4" t="str">
        <f>VLOOKUP(data[[#This Row],[Category]],Category.,2,0)</f>
        <v>Sp. &amp; Fi.</v>
      </c>
      <c r="E172" s="4" t="s">
        <v>42</v>
      </c>
      <c r="F172" s="4" t="str">
        <f>VLOOKUP(data[[#This Row],[Product]],Product.,2,0)</f>
        <v>Dumb.</v>
      </c>
      <c r="G172" s="4" t="s">
        <v>28</v>
      </c>
      <c r="H172" s="4" t="str">
        <f>VLOOKUP(data[[#This Row],[State]],State.,2,0)</f>
        <v>FL</v>
      </c>
      <c r="I172" s="4">
        <v>1</v>
      </c>
      <c r="J172" s="4">
        <v>4336.97</v>
      </c>
      <c r="K172" s="4">
        <v>2669.37</v>
      </c>
    </row>
    <row r="173" spans="1:11" x14ac:dyDescent="0.4">
      <c r="A173" s="4" t="s">
        <v>13</v>
      </c>
      <c r="B173" s="4" t="s">
        <v>30</v>
      </c>
      <c r="C173" s="4" t="s">
        <v>35</v>
      </c>
      <c r="D173" s="4" t="str">
        <f>VLOOKUP(data[[#This Row],[Category]],Category.,2,0)</f>
        <v>Ho. Ap.</v>
      </c>
      <c r="E173" s="4" t="s">
        <v>36</v>
      </c>
      <c r="F173" s="4" t="str">
        <f>VLOOKUP(data[[#This Row],[Product]],Product.,2,0)</f>
        <v>Micr.</v>
      </c>
      <c r="G173" s="4" t="s">
        <v>12</v>
      </c>
      <c r="H173" s="4" t="str">
        <f>VLOOKUP(data[[#This Row],[State]],State.,2,0)</f>
        <v>CL</v>
      </c>
      <c r="I173" s="4">
        <v>2</v>
      </c>
      <c r="J173" s="4">
        <v>3670.36</v>
      </c>
      <c r="K173" s="4">
        <v>2315.29</v>
      </c>
    </row>
    <row r="174" spans="1:11" x14ac:dyDescent="0.4">
      <c r="A174" s="4" t="s">
        <v>18</v>
      </c>
      <c r="B174" s="4" t="s">
        <v>39</v>
      </c>
      <c r="C174" s="4" t="s">
        <v>15</v>
      </c>
      <c r="D174" s="4" t="str">
        <f>VLOOKUP(data[[#This Row],[Category]],Category.,2,0)</f>
        <v>Cloth.</v>
      </c>
      <c r="E174" s="4" t="s">
        <v>16</v>
      </c>
      <c r="F174" s="4" t="str">
        <f>VLOOKUP(data[[#This Row],[Product]],Product.,2,0)</f>
        <v>Jean.</v>
      </c>
      <c r="G174" s="4" t="s">
        <v>22</v>
      </c>
      <c r="H174" s="4" t="str">
        <f>VLOOKUP(data[[#This Row],[State]],State.,2,0)</f>
        <v>NY</v>
      </c>
      <c r="I174" s="4">
        <v>4</v>
      </c>
      <c r="J174" s="4">
        <v>3571.26</v>
      </c>
      <c r="K174" s="4">
        <v>933.79</v>
      </c>
    </row>
    <row r="175" spans="1:11" x14ac:dyDescent="0.4">
      <c r="A175" s="4" t="s">
        <v>18</v>
      </c>
      <c r="B175" s="4" t="s">
        <v>49</v>
      </c>
      <c r="C175" s="4" t="s">
        <v>20</v>
      </c>
      <c r="D175" s="4" t="str">
        <f>VLOOKUP(data[[#This Row],[Category]],Category.,2,0)</f>
        <v>Sp. &amp; Fi.</v>
      </c>
      <c r="E175" s="4" t="s">
        <v>21</v>
      </c>
      <c r="F175" s="4" t="str">
        <f>VLOOKUP(data[[#This Row],[Product]],Product.,2,0)</f>
        <v>Yoga.</v>
      </c>
      <c r="G175" s="4" t="s">
        <v>48</v>
      </c>
      <c r="H175" s="4" t="str">
        <f>VLOOKUP(data[[#This Row],[State]],State.,2,0)</f>
        <v>PN</v>
      </c>
      <c r="I175" s="4">
        <v>2</v>
      </c>
      <c r="J175" s="4">
        <v>5174.9799999999996</v>
      </c>
      <c r="K175" s="4">
        <v>3905.3</v>
      </c>
    </row>
    <row r="176" spans="1:11" x14ac:dyDescent="0.4">
      <c r="A176" s="4" t="s">
        <v>38</v>
      </c>
      <c r="B176" s="4" t="s">
        <v>49</v>
      </c>
      <c r="C176" s="4" t="s">
        <v>15</v>
      </c>
      <c r="D176" s="4" t="str">
        <f>VLOOKUP(data[[#This Row],[Category]],Category.,2,0)</f>
        <v>Cloth.</v>
      </c>
      <c r="E176" s="4" t="s">
        <v>16</v>
      </c>
      <c r="F176" s="4" t="str">
        <f>VLOOKUP(data[[#This Row],[Product]],Product.,2,0)</f>
        <v>Jean.</v>
      </c>
      <c r="G176" s="4" t="s">
        <v>28</v>
      </c>
      <c r="H176" s="4" t="str">
        <f>VLOOKUP(data[[#This Row],[State]],State.,2,0)</f>
        <v>FL</v>
      </c>
      <c r="I176" s="4">
        <v>3</v>
      </c>
      <c r="J176" s="4">
        <v>9598.06</v>
      </c>
      <c r="K176" s="4">
        <v>6029.98</v>
      </c>
    </row>
    <row r="177" spans="1:11" x14ac:dyDescent="0.4">
      <c r="A177" s="4" t="s">
        <v>40</v>
      </c>
      <c r="B177" s="4" t="s">
        <v>19</v>
      </c>
      <c r="C177" s="4" t="s">
        <v>10</v>
      </c>
      <c r="D177" s="4" t="str">
        <f>VLOOKUP(data[[#This Row],[Category]],Category.,2,0)</f>
        <v>Electr.</v>
      </c>
      <c r="E177" s="4" t="s">
        <v>54</v>
      </c>
      <c r="F177" s="4" t="str">
        <f>VLOOKUP(data[[#This Row],[Product]],Product.,2,0)</f>
        <v>Lapt.</v>
      </c>
      <c r="G177" s="4" t="s">
        <v>28</v>
      </c>
      <c r="H177" s="4" t="str">
        <f>VLOOKUP(data[[#This Row],[State]],State.,2,0)</f>
        <v>FL</v>
      </c>
      <c r="I177" s="4">
        <v>2</v>
      </c>
      <c r="J177" s="4">
        <v>8465.58</v>
      </c>
      <c r="K177" s="4">
        <v>5340.76</v>
      </c>
    </row>
    <row r="178" spans="1:11" x14ac:dyDescent="0.4">
      <c r="A178" s="4" t="s">
        <v>26</v>
      </c>
      <c r="B178" s="4" t="s">
        <v>19</v>
      </c>
      <c r="C178" s="4" t="s">
        <v>24</v>
      </c>
      <c r="D178" s="4" t="str">
        <f>VLOOKUP(data[[#This Row],[Category]],Category.,2,0)</f>
        <v>Fo. &amp; Be.</v>
      </c>
      <c r="E178" s="4" t="s">
        <v>45</v>
      </c>
      <c r="F178" s="4" t="str">
        <f>VLOOKUP(data[[#This Row],[Product]],Product.,2,0)</f>
        <v>Tea.</v>
      </c>
      <c r="G178" s="4" t="s">
        <v>12</v>
      </c>
      <c r="H178" s="4" t="str">
        <f>VLOOKUP(data[[#This Row],[State]],State.,2,0)</f>
        <v>CL</v>
      </c>
      <c r="I178" s="4">
        <v>3</v>
      </c>
      <c r="J178" s="4">
        <v>4287.16</v>
      </c>
      <c r="K178" s="4">
        <v>3680.53</v>
      </c>
    </row>
    <row r="179" spans="1:11" x14ac:dyDescent="0.4">
      <c r="A179" s="4" t="s">
        <v>13</v>
      </c>
      <c r="B179" s="4" t="s">
        <v>30</v>
      </c>
      <c r="C179" s="4" t="s">
        <v>35</v>
      </c>
      <c r="D179" s="4" t="str">
        <f>VLOOKUP(data[[#This Row],[Category]],Category.,2,0)</f>
        <v>Ho. Ap.</v>
      </c>
      <c r="E179" s="4" t="s">
        <v>44</v>
      </c>
      <c r="F179" s="4" t="str">
        <f>VLOOKUP(data[[#This Row],[Product]],Product.,2,0)</f>
        <v>Dish.</v>
      </c>
      <c r="G179" s="4" t="s">
        <v>28</v>
      </c>
      <c r="H179" s="4" t="str">
        <f>VLOOKUP(data[[#This Row],[State]],State.,2,0)</f>
        <v>FL</v>
      </c>
      <c r="I179" s="4">
        <v>1</v>
      </c>
      <c r="J179" s="4">
        <v>6911.46</v>
      </c>
      <c r="K179" s="4">
        <v>5784.12</v>
      </c>
    </row>
    <row r="180" spans="1:11" x14ac:dyDescent="0.4">
      <c r="A180" s="4" t="s">
        <v>37</v>
      </c>
      <c r="B180" s="4" t="s">
        <v>32</v>
      </c>
      <c r="C180" s="4" t="s">
        <v>10</v>
      </c>
      <c r="D180" s="4" t="str">
        <f>VLOOKUP(data[[#This Row],[Category]],Category.,2,0)</f>
        <v>Electr.</v>
      </c>
      <c r="E180" s="4" t="s">
        <v>51</v>
      </c>
      <c r="F180" s="4" t="str">
        <f>VLOOKUP(data[[#This Row],[Product]],Product.,2,0)</f>
        <v>Came.</v>
      </c>
      <c r="G180" s="4" t="s">
        <v>22</v>
      </c>
      <c r="H180" s="4" t="str">
        <f>VLOOKUP(data[[#This Row],[State]],State.,2,0)</f>
        <v>NY</v>
      </c>
      <c r="I180" s="4">
        <v>4</v>
      </c>
      <c r="J180" s="4">
        <v>9380.16</v>
      </c>
      <c r="K180" s="4">
        <v>6707.4</v>
      </c>
    </row>
    <row r="181" spans="1:11" x14ac:dyDescent="0.4">
      <c r="A181" s="4" t="s">
        <v>41</v>
      </c>
      <c r="B181" s="4" t="s">
        <v>39</v>
      </c>
      <c r="C181" s="4" t="s">
        <v>24</v>
      </c>
      <c r="D181" s="4" t="str">
        <f>VLOOKUP(data[[#This Row],[Category]],Category.,2,0)</f>
        <v>Fo. &amp; Be.</v>
      </c>
      <c r="E181" s="4" t="s">
        <v>56</v>
      </c>
      <c r="F181" s="4" t="str">
        <f>VLOOKUP(data[[#This Row],[Product]],Product.,2,0)</f>
        <v>Coff.</v>
      </c>
      <c r="G181" s="4" t="s">
        <v>12</v>
      </c>
      <c r="H181" s="4" t="str">
        <f>VLOOKUP(data[[#This Row],[State]],State.,2,0)</f>
        <v>CL</v>
      </c>
      <c r="I181" s="4">
        <v>4</v>
      </c>
      <c r="J181" s="4">
        <v>4770.8599999999997</v>
      </c>
      <c r="K181" s="4">
        <v>522.48</v>
      </c>
    </row>
    <row r="182" spans="1:11" x14ac:dyDescent="0.4">
      <c r="A182" s="4" t="s">
        <v>18</v>
      </c>
      <c r="B182" s="4" t="s">
        <v>39</v>
      </c>
      <c r="C182" s="4" t="s">
        <v>10</v>
      </c>
      <c r="D182" s="4" t="str">
        <f>VLOOKUP(data[[#This Row],[Category]],Category.,2,0)</f>
        <v>Electr.</v>
      </c>
      <c r="E182" s="4" t="s">
        <v>47</v>
      </c>
      <c r="F182" s="4" t="str">
        <f>VLOOKUP(data[[#This Row],[Product]],Product.,2,0)</f>
        <v>Head.</v>
      </c>
      <c r="G182" s="4" t="s">
        <v>12</v>
      </c>
      <c r="H182" s="4" t="str">
        <f>VLOOKUP(data[[#This Row],[State]],State.,2,0)</f>
        <v>CL</v>
      </c>
      <c r="I182" s="4">
        <v>3</v>
      </c>
      <c r="J182" s="4">
        <v>7013.11</v>
      </c>
      <c r="K182" s="4">
        <v>4490.7299999999996</v>
      </c>
    </row>
    <row r="183" spans="1:11" x14ac:dyDescent="0.4">
      <c r="A183" s="4" t="s">
        <v>37</v>
      </c>
      <c r="B183" s="4" t="s">
        <v>19</v>
      </c>
      <c r="C183" s="4" t="s">
        <v>20</v>
      </c>
      <c r="D183" s="4" t="str">
        <f>VLOOKUP(data[[#This Row],[Category]],Category.,2,0)</f>
        <v>Sp. &amp; Fi.</v>
      </c>
      <c r="E183" s="4" t="s">
        <v>42</v>
      </c>
      <c r="F183" s="4" t="str">
        <f>VLOOKUP(data[[#This Row],[Product]],Product.,2,0)</f>
        <v>Dumb.</v>
      </c>
      <c r="G183" s="4" t="s">
        <v>17</v>
      </c>
      <c r="H183" s="4" t="str">
        <f>VLOOKUP(data[[#This Row],[State]],State.,2,0)</f>
        <v>TX</v>
      </c>
      <c r="I183" s="4">
        <v>5</v>
      </c>
      <c r="J183" s="4">
        <v>7246.39</v>
      </c>
      <c r="K183" s="4">
        <v>2766.01</v>
      </c>
    </row>
    <row r="184" spans="1:11" x14ac:dyDescent="0.4">
      <c r="A184" s="4" t="s">
        <v>18</v>
      </c>
      <c r="B184" s="4" t="s">
        <v>14</v>
      </c>
      <c r="C184" s="4" t="s">
        <v>10</v>
      </c>
      <c r="D184" s="4" t="str">
        <f>VLOOKUP(data[[#This Row],[Category]],Category.,2,0)</f>
        <v>Electr.</v>
      </c>
      <c r="E184" s="4" t="s">
        <v>51</v>
      </c>
      <c r="F184" s="4" t="str">
        <f>VLOOKUP(data[[#This Row],[Product]],Product.,2,0)</f>
        <v>Came.</v>
      </c>
      <c r="G184" s="4" t="s">
        <v>12</v>
      </c>
      <c r="H184" s="4" t="str">
        <f>VLOOKUP(data[[#This Row],[State]],State.,2,0)</f>
        <v>CL</v>
      </c>
      <c r="I184" s="4">
        <v>4</v>
      </c>
      <c r="J184" s="4">
        <v>7510.31</v>
      </c>
      <c r="K184" s="4">
        <v>2202.1</v>
      </c>
    </row>
    <row r="185" spans="1:11" x14ac:dyDescent="0.4">
      <c r="A185" s="4" t="s">
        <v>37</v>
      </c>
      <c r="B185" s="4" t="s">
        <v>30</v>
      </c>
      <c r="C185" s="4" t="s">
        <v>20</v>
      </c>
      <c r="D185" s="4" t="str">
        <f>VLOOKUP(data[[#This Row],[Category]],Category.,2,0)</f>
        <v>Sp. &amp; Fi.</v>
      </c>
      <c r="E185" s="4" t="s">
        <v>42</v>
      </c>
      <c r="F185" s="4" t="str">
        <f>VLOOKUP(data[[#This Row],[Product]],Product.,2,0)</f>
        <v>Dumb.</v>
      </c>
      <c r="G185" s="4" t="s">
        <v>34</v>
      </c>
      <c r="H185" s="4" t="str">
        <f>VLOOKUP(data[[#This Row],[State]],State.,2,0)</f>
        <v>IL</v>
      </c>
      <c r="I185" s="4">
        <v>1</v>
      </c>
      <c r="J185" s="4">
        <v>7907.65</v>
      </c>
      <c r="K185" s="4">
        <v>1177.95</v>
      </c>
    </row>
    <row r="186" spans="1:11" x14ac:dyDescent="0.4">
      <c r="A186" s="4" t="s">
        <v>8</v>
      </c>
      <c r="B186" s="4" t="s">
        <v>32</v>
      </c>
      <c r="C186" s="4" t="s">
        <v>15</v>
      </c>
      <c r="D186" s="4" t="str">
        <f>VLOOKUP(data[[#This Row],[Category]],Category.,2,0)</f>
        <v>Cloth.</v>
      </c>
      <c r="E186" s="4" t="s">
        <v>46</v>
      </c>
      <c r="F186" s="4" t="str">
        <f>VLOOKUP(data[[#This Row],[Product]],Product.,2,0)</f>
        <v>Swea.</v>
      </c>
      <c r="G186" s="4" t="s">
        <v>28</v>
      </c>
      <c r="H186" s="4" t="str">
        <f>VLOOKUP(data[[#This Row],[State]],State.,2,0)</f>
        <v>FL</v>
      </c>
      <c r="I186" s="4">
        <v>3</v>
      </c>
      <c r="J186" s="4">
        <v>610.66999999999996</v>
      </c>
      <c r="K186" s="4">
        <v>186.29</v>
      </c>
    </row>
    <row r="187" spans="1:11" x14ac:dyDescent="0.4">
      <c r="A187" s="4" t="s">
        <v>41</v>
      </c>
      <c r="B187" s="4" t="s">
        <v>49</v>
      </c>
      <c r="C187" s="4" t="s">
        <v>15</v>
      </c>
      <c r="D187" s="4" t="str">
        <f>VLOOKUP(data[[#This Row],[Category]],Category.,2,0)</f>
        <v>Cloth.</v>
      </c>
      <c r="E187" s="4" t="s">
        <v>16</v>
      </c>
      <c r="F187" s="4" t="str">
        <f>VLOOKUP(data[[#This Row],[Product]],Product.,2,0)</f>
        <v>Jean.</v>
      </c>
      <c r="G187" s="4" t="s">
        <v>22</v>
      </c>
      <c r="H187" s="4" t="str">
        <f>VLOOKUP(data[[#This Row],[State]],State.,2,0)</f>
        <v>NY</v>
      </c>
      <c r="I187" s="4">
        <v>1</v>
      </c>
      <c r="J187" s="4">
        <v>6755.38</v>
      </c>
      <c r="K187" s="4">
        <v>5469.79</v>
      </c>
    </row>
    <row r="188" spans="1:11" x14ac:dyDescent="0.4">
      <c r="A188" s="4" t="s">
        <v>40</v>
      </c>
      <c r="B188" s="4" t="s">
        <v>32</v>
      </c>
      <c r="C188" s="4" t="s">
        <v>10</v>
      </c>
      <c r="D188" s="4" t="str">
        <f>VLOOKUP(data[[#This Row],[Category]],Category.,2,0)</f>
        <v>Electr.</v>
      </c>
      <c r="E188" s="4" t="s">
        <v>47</v>
      </c>
      <c r="F188" s="4" t="str">
        <f>VLOOKUP(data[[#This Row],[Product]],Product.,2,0)</f>
        <v>Head.</v>
      </c>
      <c r="G188" s="4" t="s">
        <v>17</v>
      </c>
      <c r="H188" s="4" t="str">
        <f>VLOOKUP(data[[#This Row],[State]],State.,2,0)</f>
        <v>TX</v>
      </c>
      <c r="I188" s="4">
        <v>3</v>
      </c>
      <c r="J188" s="4">
        <v>6786.68</v>
      </c>
      <c r="K188" s="4">
        <v>3240.54</v>
      </c>
    </row>
    <row r="189" spans="1:11" x14ac:dyDescent="0.4">
      <c r="A189" s="4" t="s">
        <v>52</v>
      </c>
      <c r="B189" s="4" t="s">
        <v>14</v>
      </c>
      <c r="C189" s="4" t="s">
        <v>10</v>
      </c>
      <c r="D189" s="4" t="str">
        <f>VLOOKUP(data[[#This Row],[Category]],Category.,2,0)</f>
        <v>Electr.</v>
      </c>
      <c r="E189" s="4" t="s">
        <v>51</v>
      </c>
      <c r="F189" s="4" t="str">
        <f>VLOOKUP(data[[#This Row],[Product]],Product.,2,0)</f>
        <v>Came.</v>
      </c>
      <c r="G189" s="4" t="s">
        <v>22</v>
      </c>
      <c r="H189" s="4" t="str">
        <f>VLOOKUP(data[[#This Row],[State]],State.,2,0)</f>
        <v>NY</v>
      </c>
      <c r="I189" s="4">
        <v>2</v>
      </c>
      <c r="J189" s="4">
        <v>2233.15</v>
      </c>
      <c r="K189" s="4">
        <v>569.79</v>
      </c>
    </row>
    <row r="190" spans="1:11" x14ac:dyDescent="0.4">
      <c r="A190" s="4" t="s">
        <v>40</v>
      </c>
      <c r="B190" s="4" t="s">
        <v>30</v>
      </c>
      <c r="C190" s="4" t="s">
        <v>20</v>
      </c>
      <c r="D190" s="4" t="str">
        <f>VLOOKUP(data[[#This Row],[Category]],Category.,2,0)</f>
        <v>Sp. &amp; Fi.</v>
      </c>
      <c r="E190" s="4" t="s">
        <v>42</v>
      </c>
      <c r="F190" s="4" t="str">
        <f>VLOOKUP(data[[#This Row],[Product]],Product.,2,0)</f>
        <v>Dumb.</v>
      </c>
      <c r="G190" s="4" t="s">
        <v>48</v>
      </c>
      <c r="H190" s="4" t="str">
        <f>VLOOKUP(data[[#This Row],[State]],State.,2,0)</f>
        <v>PN</v>
      </c>
      <c r="I190" s="4">
        <v>4</v>
      </c>
      <c r="J190" s="4">
        <v>1024.99</v>
      </c>
      <c r="K190" s="4">
        <v>20.11</v>
      </c>
    </row>
    <row r="191" spans="1:11" x14ac:dyDescent="0.4">
      <c r="A191" s="4" t="s">
        <v>37</v>
      </c>
      <c r="B191" s="4" t="s">
        <v>30</v>
      </c>
      <c r="C191" s="4" t="s">
        <v>10</v>
      </c>
      <c r="D191" s="4" t="str">
        <f>VLOOKUP(data[[#This Row],[Category]],Category.,2,0)</f>
        <v>Electr.</v>
      </c>
      <c r="E191" s="4" t="s">
        <v>51</v>
      </c>
      <c r="F191" s="4" t="str">
        <f>VLOOKUP(data[[#This Row],[Product]],Product.,2,0)</f>
        <v>Came.</v>
      </c>
      <c r="G191" s="4" t="s">
        <v>34</v>
      </c>
      <c r="H191" s="4" t="str">
        <f>VLOOKUP(data[[#This Row],[State]],State.,2,0)</f>
        <v>IL</v>
      </c>
      <c r="I191" s="4">
        <v>2</v>
      </c>
      <c r="J191" s="4">
        <v>2166.4299999999998</v>
      </c>
      <c r="K191" s="4">
        <v>1904.84</v>
      </c>
    </row>
    <row r="192" spans="1:11" x14ac:dyDescent="0.4">
      <c r="A192" s="4" t="s">
        <v>29</v>
      </c>
      <c r="B192" s="4" t="s">
        <v>9</v>
      </c>
      <c r="C192" s="4" t="s">
        <v>24</v>
      </c>
      <c r="D192" s="4" t="str">
        <f>VLOOKUP(data[[#This Row],[Category]],Category.,2,0)</f>
        <v>Fo. &amp; Be.</v>
      </c>
      <c r="E192" s="4" t="s">
        <v>45</v>
      </c>
      <c r="F192" s="4" t="str">
        <f>VLOOKUP(data[[#This Row],[Product]],Product.,2,0)</f>
        <v>Tea.</v>
      </c>
      <c r="G192" s="4" t="s">
        <v>48</v>
      </c>
      <c r="H192" s="4" t="str">
        <f>VLOOKUP(data[[#This Row],[State]],State.,2,0)</f>
        <v>PN</v>
      </c>
      <c r="I192" s="4">
        <v>1</v>
      </c>
      <c r="J192" s="4">
        <v>1818.76</v>
      </c>
      <c r="K192" s="4">
        <v>126.42</v>
      </c>
    </row>
    <row r="193" spans="1:11" x14ac:dyDescent="0.4">
      <c r="A193" s="4" t="s">
        <v>18</v>
      </c>
      <c r="B193" s="4" t="s">
        <v>32</v>
      </c>
      <c r="C193" s="4" t="s">
        <v>15</v>
      </c>
      <c r="D193" s="4" t="str">
        <f>VLOOKUP(data[[#This Row],[Category]],Category.,2,0)</f>
        <v>Cloth.</v>
      </c>
      <c r="E193" s="4" t="s">
        <v>27</v>
      </c>
      <c r="F193" s="4" t="str">
        <f>VLOOKUP(data[[#This Row],[Product]],Product.,2,0)</f>
        <v>Jack.</v>
      </c>
      <c r="G193" s="4" t="s">
        <v>12</v>
      </c>
      <c r="H193" s="4" t="str">
        <f>VLOOKUP(data[[#This Row],[State]],State.,2,0)</f>
        <v>CL</v>
      </c>
      <c r="I193" s="4">
        <v>5</v>
      </c>
      <c r="J193" s="4">
        <v>7708.19</v>
      </c>
      <c r="K193" s="4">
        <v>1414.19</v>
      </c>
    </row>
    <row r="194" spans="1:11" x14ac:dyDescent="0.4">
      <c r="A194" s="4" t="s">
        <v>41</v>
      </c>
      <c r="B194" s="4" t="s">
        <v>32</v>
      </c>
      <c r="C194" s="4" t="s">
        <v>15</v>
      </c>
      <c r="D194" s="4" t="str">
        <f>VLOOKUP(data[[#This Row],[Category]],Category.,2,0)</f>
        <v>Cloth.</v>
      </c>
      <c r="E194" s="4" t="s">
        <v>46</v>
      </c>
      <c r="F194" s="4" t="str">
        <f>VLOOKUP(data[[#This Row],[Product]],Product.,2,0)</f>
        <v>Swea.</v>
      </c>
      <c r="G194" s="4" t="s">
        <v>12</v>
      </c>
      <c r="H194" s="4" t="str">
        <f>VLOOKUP(data[[#This Row],[State]],State.,2,0)</f>
        <v>CL</v>
      </c>
      <c r="I194" s="4">
        <v>2</v>
      </c>
      <c r="J194" s="4">
        <v>8718.89</v>
      </c>
      <c r="K194" s="4">
        <v>6639.62</v>
      </c>
    </row>
    <row r="195" spans="1:11" x14ac:dyDescent="0.4">
      <c r="A195" s="4" t="s">
        <v>52</v>
      </c>
      <c r="B195" s="4" t="s">
        <v>19</v>
      </c>
      <c r="C195" s="4" t="s">
        <v>20</v>
      </c>
      <c r="D195" s="4" t="str">
        <f>VLOOKUP(data[[#This Row],[Category]],Category.,2,0)</f>
        <v>Sp. &amp; Fi.</v>
      </c>
      <c r="E195" s="4" t="s">
        <v>33</v>
      </c>
      <c r="F195" s="4" t="str">
        <f>VLOOKUP(data[[#This Row],[Product]],Product.,2,0)</f>
        <v>Bicy.</v>
      </c>
      <c r="G195" s="4" t="s">
        <v>28</v>
      </c>
      <c r="H195" s="4" t="str">
        <f>VLOOKUP(data[[#This Row],[State]],State.,2,0)</f>
        <v>FL</v>
      </c>
      <c r="I195" s="4">
        <v>1</v>
      </c>
      <c r="J195" s="4">
        <v>9863.86</v>
      </c>
      <c r="K195" s="4">
        <v>1565.12</v>
      </c>
    </row>
    <row r="196" spans="1:11" x14ac:dyDescent="0.4">
      <c r="A196" s="4" t="s">
        <v>23</v>
      </c>
      <c r="B196" s="4" t="s">
        <v>49</v>
      </c>
      <c r="C196" s="4" t="s">
        <v>35</v>
      </c>
      <c r="D196" s="4" t="str">
        <f>VLOOKUP(data[[#This Row],[Category]],Category.,2,0)</f>
        <v>Ho. Ap.</v>
      </c>
      <c r="E196" s="4" t="s">
        <v>50</v>
      </c>
      <c r="F196" s="4" t="str">
        <f>VLOOKUP(data[[#This Row],[Product]],Product.,2,0)</f>
        <v>Refr.</v>
      </c>
      <c r="G196" s="4" t="s">
        <v>12</v>
      </c>
      <c r="H196" s="4" t="str">
        <f>VLOOKUP(data[[#This Row],[State]],State.,2,0)</f>
        <v>CL</v>
      </c>
      <c r="I196" s="4">
        <v>1</v>
      </c>
      <c r="J196" s="4">
        <v>3070.52</v>
      </c>
      <c r="K196" s="4">
        <v>1223.1500000000001</v>
      </c>
    </row>
    <row r="197" spans="1:11" x14ac:dyDescent="0.4">
      <c r="A197" s="4" t="s">
        <v>40</v>
      </c>
      <c r="B197" s="4" t="s">
        <v>32</v>
      </c>
      <c r="C197" s="4" t="s">
        <v>15</v>
      </c>
      <c r="D197" s="4" t="str">
        <f>VLOOKUP(data[[#This Row],[Category]],Category.,2,0)</f>
        <v>Cloth.</v>
      </c>
      <c r="E197" s="4" t="s">
        <v>27</v>
      </c>
      <c r="F197" s="4" t="str">
        <f>VLOOKUP(data[[#This Row],[Product]],Product.,2,0)</f>
        <v>Jack.</v>
      </c>
      <c r="G197" s="4" t="s">
        <v>22</v>
      </c>
      <c r="H197" s="4" t="str">
        <f>VLOOKUP(data[[#This Row],[State]],State.,2,0)</f>
        <v>NY</v>
      </c>
      <c r="I197" s="4">
        <v>2</v>
      </c>
      <c r="J197" s="4">
        <v>7043.56</v>
      </c>
      <c r="K197" s="4">
        <v>2548.19</v>
      </c>
    </row>
    <row r="198" spans="1:11" x14ac:dyDescent="0.4">
      <c r="A198" s="4" t="s">
        <v>29</v>
      </c>
      <c r="B198" s="4" t="s">
        <v>39</v>
      </c>
      <c r="C198" s="4" t="s">
        <v>10</v>
      </c>
      <c r="D198" s="4" t="str">
        <f>VLOOKUP(data[[#This Row],[Category]],Category.,2,0)</f>
        <v>Electr.</v>
      </c>
      <c r="E198" s="4" t="s">
        <v>47</v>
      </c>
      <c r="F198" s="4" t="str">
        <f>VLOOKUP(data[[#This Row],[Product]],Product.,2,0)</f>
        <v>Head.</v>
      </c>
      <c r="G198" s="4" t="s">
        <v>34</v>
      </c>
      <c r="H198" s="4" t="str">
        <f>VLOOKUP(data[[#This Row],[State]],State.,2,0)</f>
        <v>IL</v>
      </c>
      <c r="I198" s="4">
        <v>4</v>
      </c>
      <c r="J198" s="4">
        <v>5302.99</v>
      </c>
      <c r="K198" s="4">
        <v>3041.41</v>
      </c>
    </row>
    <row r="199" spans="1:11" x14ac:dyDescent="0.4">
      <c r="A199" s="4" t="s">
        <v>23</v>
      </c>
      <c r="B199" s="4" t="s">
        <v>30</v>
      </c>
      <c r="C199" s="4" t="s">
        <v>15</v>
      </c>
      <c r="D199" s="4" t="str">
        <f>VLOOKUP(data[[#This Row],[Category]],Category.,2,0)</f>
        <v>Cloth.</v>
      </c>
      <c r="E199" s="4" t="s">
        <v>27</v>
      </c>
      <c r="F199" s="4" t="str">
        <f>VLOOKUP(data[[#This Row],[Product]],Product.,2,0)</f>
        <v>Jack.</v>
      </c>
      <c r="G199" s="4" t="s">
        <v>48</v>
      </c>
      <c r="H199" s="4" t="str">
        <f>VLOOKUP(data[[#This Row],[State]],State.,2,0)</f>
        <v>PN</v>
      </c>
      <c r="I199" s="4">
        <v>4</v>
      </c>
      <c r="J199" s="4">
        <v>1814.66</v>
      </c>
      <c r="K199" s="4">
        <v>1511.98</v>
      </c>
    </row>
    <row r="200" spans="1:11" x14ac:dyDescent="0.4">
      <c r="A200" s="4" t="s">
        <v>52</v>
      </c>
      <c r="B200" s="4" t="s">
        <v>30</v>
      </c>
      <c r="C200" s="4" t="s">
        <v>24</v>
      </c>
      <c r="D200" s="4" t="str">
        <f>VLOOKUP(data[[#This Row],[Category]],Category.,2,0)</f>
        <v>Fo. &amp; Be.</v>
      </c>
      <c r="E200" s="4" t="s">
        <v>45</v>
      </c>
      <c r="F200" s="4" t="str">
        <f>VLOOKUP(data[[#This Row],[Product]],Product.,2,0)</f>
        <v>Tea.</v>
      </c>
      <c r="G200" s="4" t="s">
        <v>34</v>
      </c>
      <c r="H200" s="4" t="str">
        <f>VLOOKUP(data[[#This Row],[State]],State.,2,0)</f>
        <v>IL</v>
      </c>
      <c r="I200" s="4">
        <v>2</v>
      </c>
      <c r="J200" s="4">
        <v>4748.08</v>
      </c>
      <c r="K200" s="4">
        <v>1393.16</v>
      </c>
    </row>
    <row r="201" spans="1:11" x14ac:dyDescent="0.4">
      <c r="A201" s="4" t="s">
        <v>26</v>
      </c>
      <c r="B201" s="4" t="s">
        <v>9</v>
      </c>
      <c r="C201" s="4" t="s">
        <v>24</v>
      </c>
      <c r="D201" s="4" t="str">
        <f>VLOOKUP(data[[#This Row],[Category]],Category.,2,0)</f>
        <v>Fo. &amp; Be.</v>
      </c>
      <c r="E201" s="4" t="s">
        <v>25</v>
      </c>
      <c r="F201" s="4" t="str">
        <f>VLOOKUP(data[[#This Row],[Product]],Product.,2,0)</f>
        <v>Snac.</v>
      </c>
      <c r="G201" s="4" t="s">
        <v>34</v>
      </c>
      <c r="H201" s="4" t="str">
        <f>VLOOKUP(data[[#This Row],[State]],State.,2,0)</f>
        <v>IL</v>
      </c>
      <c r="I201" s="4">
        <v>2</v>
      </c>
      <c r="J201" s="4">
        <v>8692.98</v>
      </c>
      <c r="K201" s="4">
        <v>978.72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D67E-3606-45E6-812E-069085A11B90}">
  <sheetPr>
    <tabColor rgb="FFE7954D"/>
  </sheetPr>
  <dimension ref="A2:L22"/>
  <sheetViews>
    <sheetView workbookViewId="0">
      <selection activeCell="C15" sqref="C15"/>
    </sheetView>
  </sheetViews>
  <sheetFormatPr defaultRowHeight="17.600000000000001" x14ac:dyDescent="0.4"/>
  <cols>
    <col min="1" max="1" width="11.23046875" style="4" customWidth="1"/>
    <col min="2" max="2" width="9.23046875" style="4"/>
    <col min="3" max="3" width="10.4609375" style="4" customWidth="1"/>
    <col min="4" max="4" width="9.23046875" style="4"/>
    <col min="5" max="6" width="16.921875" style="4" customWidth="1"/>
    <col min="7" max="7" width="9.23046875" style="4"/>
    <col min="8" max="9" width="14" style="4" customWidth="1"/>
    <col min="10" max="10" width="9.23046875" style="4" customWidth="1"/>
    <col min="11" max="12" width="14.23046875" style="4" customWidth="1"/>
    <col min="13" max="16384" width="9.23046875" style="4"/>
  </cols>
  <sheetData>
    <row r="2" spans="1:12" x14ac:dyDescent="0.4">
      <c r="A2" s="5" t="s">
        <v>59</v>
      </c>
      <c r="C2" s="5" t="s">
        <v>1</v>
      </c>
      <c r="E2" s="5" t="s">
        <v>2</v>
      </c>
      <c r="F2" s="5" t="s">
        <v>65</v>
      </c>
      <c r="H2" s="5" t="s">
        <v>3</v>
      </c>
      <c r="I2" s="5" t="s">
        <v>66</v>
      </c>
      <c r="K2" s="5" t="s">
        <v>4</v>
      </c>
      <c r="L2" s="5" t="s">
        <v>67</v>
      </c>
    </row>
    <row r="3" spans="1:12" x14ac:dyDescent="0.4">
      <c r="A3" s="6" t="str" cm="1">
        <f t="array" ref="A3:A14">_xlfn.UNIQUE(data[Month],FALSE,FALSE)</f>
        <v>May</v>
      </c>
      <c r="C3" s="6" t="str" cm="1">
        <f t="array" ref="C3:C9">_xlfn.UNIQUE(data[Seller],FALSE,FALSE)</f>
        <v>Dave</v>
      </c>
      <c r="E3" s="6" t="str" cm="1">
        <f t="array" ref="E3:E7">_xlfn.UNIQUE(data[Category],FALSE,FALSE)</f>
        <v>Electronics</v>
      </c>
      <c r="F3" s="6" t="s">
        <v>60</v>
      </c>
      <c r="H3" s="6" t="str" cm="1">
        <f t="array" ref="H3:H22">_xlfn.UNIQUE(data[Product],FALSE,FALSE)</f>
        <v>Smartphone</v>
      </c>
      <c r="I3" s="6" t="str">
        <f>LEFT(H3,4) &amp; "."</f>
        <v>Smar.</v>
      </c>
      <c r="K3" s="6" t="str" cm="1">
        <f t="array" ref="K3:K8">_xlfn.UNIQUE(data[State],FALSE,FALSE)</f>
        <v>California</v>
      </c>
      <c r="L3" s="6" t="s">
        <v>68</v>
      </c>
    </row>
    <row r="4" spans="1:12" x14ac:dyDescent="0.4">
      <c r="A4" s="6" t="str">
        <v>Nov</v>
      </c>
      <c r="C4" s="6" t="str">
        <v>Frank</v>
      </c>
      <c r="E4" s="6" t="str">
        <v>Clothing</v>
      </c>
      <c r="F4" s="6" t="s">
        <v>61</v>
      </c>
      <c r="H4" s="6" t="str">
        <v>Jeans</v>
      </c>
      <c r="I4" s="6" t="str">
        <f t="shared" ref="I4:I22" si="0">LEFT(H4,4) &amp; "."</f>
        <v>Jean.</v>
      </c>
      <c r="K4" s="6" t="str">
        <v>Texas</v>
      </c>
      <c r="L4" s="6" t="s">
        <v>69</v>
      </c>
    </row>
    <row r="5" spans="1:12" x14ac:dyDescent="0.4">
      <c r="A5" s="6" t="str">
        <v>Jun</v>
      </c>
      <c r="C5" s="6" t="str">
        <v>Eve</v>
      </c>
      <c r="E5" s="6" t="str">
        <v>Sports &amp; Fitness</v>
      </c>
      <c r="F5" s="6" t="s">
        <v>62</v>
      </c>
      <c r="H5" s="6" t="str">
        <v>Yoga Mat</v>
      </c>
      <c r="I5" s="6" t="str">
        <f t="shared" si="0"/>
        <v>Yoga.</v>
      </c>
      <c r="K5" s="6" t="str">
        <v>New York</v>
      </c>
      <c r="L5" s="6" t="s">
        <v>58</v>
      </c>
    </row>
    <row r="6" spans="1:12" x14ac:dyDescent="0.4">
      <c r="A6" s="6" t="str">
        <v>Dec</v>
      </c>
      <c r="C6" s="6" t="str">
        <v>Bob</v>
      </c>
      <c r="E6" s="6" t="str">
        <v>Food &amp; Beverages</v>
      </c>
      <c r="F6" s="6" t="s">
        <v>63</v>
      </c>
      <c r="H6" s="6" t="str">
        <v>Snacks</v>
      </c>
      <c r="I6" s="6" t="str">
        <f t="shared" si="0"/>
        <v>Snac.</v>
      </c>
      <c r="K6" s="6" t="str">
        <v>Florida</v>
      </c>
      <c r="L6" s="6" t="s">
        <v>72</v>
      </c>
    </row>
    <row r="7" spans="1:12" x14ac:dyDescent="0.4">
      <c r="A7" s="6" t="str">
        <v>Feb</v>
      </c>
      <c r="C7" s="6" t="str">
        <v>Carol</v>
      </c>
      <c r="E7" s="6" t="str">
        <v>Home Appliances</v>
      </c>
      <c r="F7" s="6" t="s">
        <v>64</v>
      </c>
      <c r="H7" s="6" t="str">
        <v>Jacket</v>
      </c>
      <c r="I7" s="6" t="str">
        <f t="shared" si="0"/>
        <v>Jack.</v>
      </c>
      <c r="K7" s="6" t="str">
        <v>Illinois</v>
      </c>
      <c r="L7" s="6" t="s">
        <v>70</v>
      </c>
    </row>
    <row r="8" spans="1:12" x14ac:dyDescent="0.4">
      <c r="A8" s="6" t="str">
        <v>Mar</v>
      </c>
      <c r="C8" s="6" t="str">
        <v>Alice</v>
      </c>
      <c r="H8" s="6" t="str">
        <v>Juice</v>
      </c>
      <c r="I8" s="6" t="str">
        <f t="shared" si="0"/>
        <v>Juic.</v>
      </c>
      <c r="K8" s="6" t="str">
        <v>Pennsylvania</v>
      </c>
      <c r="L8" s="6" t="s">
        <v>71</v>
      </c>
    </row>
    <row r="9" spans="1:12" x14ac:dyDescent="0.4">
      <c r="A9" s="6" t="str">
        <v>Jan</v>
      </c>
      <c r="C9" s="6" t="str">
        <v>Grace</v>
      </c>
      <c r="H9" s="6" t="str">
        <v>Bicycle</v>
      </c>
      <c r="I9" s="6" t="str">
        <f t="shared" si="0"/>
        <v>Bicy.</v>
      </c>
    </row>
    <row r="10" spans="1:12" x14ac:dyDescent="0.4">
      <c r="A10" s="6" t="str">
        <v>Jul</v>
      </c>
      <c r="H10" s="6" t="str">
        <v>Microwave</v>
      </c>
      <c r="I10" s="6" t="str">
        <f t="shared" si="0"/>
        <v>Micr.</v>
      </c>
    </row>
    <row r="11" spans="1:12" x14ac:dyDescent="0.4">
      <c r="A11" s="6" t="str">
        <v>Apr</v>
      </c>
      <c r="H11" s="6" t="str">
        <v>Dumbbells</v>
      </c>
      <c r="I11" s="6" t="str">
        <f t="shared" si="0"/>
        <v>Dumb.</v>
      </c>
    </row>
    <row r="12" spans="1:12" x14ac:dyDescent="0.4">
      <c r="A12" s="6" t="str">
        <v>Aug</v>
      </c>
      <c r="H12" s="6" t="str">
        <v>T-Shirt</v>
      </c>
      <c r="I12" s="6" t="str">
        <f t="shared" si="0"/>
        <v>T-Sh.</v>
      </c>
    </row>
    <row r="13" spans="1:12" x14ac:dyDescent="0.4">
      <c r="A13" s="6" t="str">
        <v>Oct</v>
      </c>
      <c r="H13" s="6" t="str">
        <v>Dishwasher</v>
      </c>
      <c r="I13" s="6" t="str">
        <f t="shared" si="0"/>
        <v>Dish.</v>
      </c>
    </row>
    <row r="14" spans="1:12" x14ac:dyDescent="0.4">
      <c r="A14" s="6" t="str">
        <v>Sep</v>
      </c>
      <c r="H14" s="6" t="str">
        <v>Tea</v>
      </c>
      <c r="I14" s="6" t="str">
        <f t="shared" si="0"/>
        <v>Tea.</v>
      </c>
    </row>
    <row r="15" spans="1:12" x14ac:dyDescent="0.4">
      <c r="H15" s="6" t="str">
        <v>Sweater</v>
      </c>
      <c r="I15" s="6" t="str">
        <f t="shared" si="0"/>
        <v>Swea.</v>
      </c>
    </row>
    <row r="16" spans="1:12" x14ac:dyDescent="0.4">
      <c r="H16" s="6" t="str">
        <v>Headphones</v>
      </c>
      <c r="I16" s="6" t="str">
        <f t="shared" si="0"/>
        <v>Head.</v>
      </c>
    </row>
    <row r="17" spans="8:9" x14ac:dyDescent="0.4">
      <c r="H17" s="6" t="str">
        <v>Refrigerator</v>
      </c>
      <c r="I17" s="6" t="str">
        <f t="shared" si="0"/>
        <v>Refr.</v>
      </c>
    </row>
    <row r="18" spans="8:9" x14ac:dyDescent="0.4">
      <c r="H18" s="6" t="str">
        <v>Camera</v>
      </c>
      <c r="I18" s="6" t="str">
        <f t="shared" si="0"/>
        <v>Came.</v>
      </c>
    </row>
    <row r="19" spans="8:9" x14ac:dyDescent="0.4">
      <c r="H19" s="6" t="str">
        <v>Treadmill</v>
      </c>
      <c r="I19" s="6" t="str">
        <f t="shared" si="0"/>
        <v>Trea.</v>
      </c>
    </row>
    <row r="20" spans="8:9" x14ac:dyDescent="0.4">
      <c r="H20" s="6" t="str">
        <v>Laptop</v>
      </c>
      <c r="I20" s="6" t="str">
        <f t="shared" si="0"/>
        <v>Lapt.</v>
      </c>
    </row>
    <row r="21" spans="8:9" x14ac:dyDescent="0.4">
      <c r="H21" s="6" t="str">
        <v>Coffee</v>
      </c>
      <c r="I21" s="6" t="str">
        <f t="shared" si="0"/>
        <v>Coff.</v>
      </c>
    </row>
    <row r="22" spans="8:9" x14ac:dyDescent="0.4">
      <c r="H22" s="6" t="str">
        <v>Toaster</v>
      </c>
      <c r="I22" s="6" t="str">
        <f t="shared" si="0"/>
        <v>Toas.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50B787-3F92-4FDA-B7F6-667E109F52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Dashboard</vt:lpstr>
      <vt:lpstr>Analysis</vt:lpstr>
      <vt:lpstr>Dataset</vt:lpstr>
      <vt:lpstr>Extractions</vt:lpstr>
      <vt:lpstr>Category.</vt:lpstr>
      <vt:lpstr>Product.</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Jesuloluwa Fademi</dc:creator>
  <cp:lastModifiedBy>Jesuloluwa Fademi</cp:lastModifiedBy>
  <dcterms:created xsi:type="dcterms:W3CDTF">2025-05-02T20:50:50Z</dcterms:created>
  <dcterms:modified xsi:type="dcterms:W3CDTF">2025-05-03T16:56:28Z</dcterms:modified>
</cp:coreProperties>
</file>