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jesul\Documents\GitHub\portfolio.data\files\"/>
    </mc:Choice>
  </mc:AlternateContent>
  <xr:revisionPtr revIDLastSave="0" documentId="13_ncr:1_{EA2589DB-4480-4AE6-B82C-A3EE9D34DABC}" xr6:coauthVersionLast="47" xr6:coauthVersionMax="47" xr10:uidLastSave="{00000000-0000-0000-0000-000000000000}"/>
  <bookViews>
    <workbookView xWindow="45960" yWindow="-120" windowWidth="29040" windowHeight="15720" xr2:uid="{00000000-000D-0000-FFFF-FFFF00000000}"/>
  </bookViews>
  <sheets>
    <sheet name="Dashboard" sheetId="5" r:id="rId1"/>
    <sheet name="Pivot (Key Metrics)" sheetId="9" r:id="rId2"/>
    <sheet name="Pivot (Seller)" sheetId="6" r:id="rId3"/>
    <sheet name="Pivot (Category,Product)" sheetId="7" r:id="rId4"/>
    <sheet name="Pivot (State)" sheetId="8" r:id="rId5"/>
    <sheet name="Sales Data" sheetId="1" r:id="rId6"/>
    <sheet name="Key Metrics" sheetId="2" r:id="rId7"/>
    <sheet name="Extras" sheetId="3" r:id="rId8"/>
  </sheets>
  <definedNames>
    <definedName name="avg_profit_margin">'Pivot (Key Metrics)'!$D$4</definedName>
    <definedName name="avg_sales">'Pivot (Key Metrics)'!$D$2</definedName>
    <definedName name="Category">Extras!$B$4:$B$8</definedName>
    <definedName name="category_count">'Pivot (Key Metrics)'!$G$36</definedName>
    <definedName name="max_profit">'Pivot (Key Metrics)'!$C$2</definedName>
    <definedName name="max_sales">'Pivot (Key Metrics)'!$B$2</definedName>
    <definedName name="Month">Extras!$E$4:$E$15</definedName>
    <definedName name="product_count">'Pivot (Key Metrics)'!$H$36</definedName>
    <definedName name="Sales_Count">'Pivot (Key Metrics)'!$J$36</definedName>
    <definedName name="Seller">Extras!$J$4:$J$10</definedName>
    <definedName name="seller_count">'Pivot (Key Metrics)'!$F$36</definedName>
    <definedName name="Slicer_Category">#N/A</definedName>
    <definedName name="Slicer_Month">#N/A</definedName>
    <definedName name="Slicer_Product">#N/A</definedName>
    <definedName name="Slicer_Seller">#N/A</definedName>
    <definedName name="Slicer_State">#N/A</definedName>
    <definedName name="State">Extras!$H$4:$H$9</definedName>
    <definedName name="state_count">'Pivot (Key Metrics)'!$I$36</definedName>
    <definedName name="Total_Profit">'Pivot (Key Metrics)'!$C$4</definedName>
    <definedName name="Total_Sales">'Pivot (Key Metrics)'!$B$4</definedName>
  </definedNames>
  <calcPr calcId="191029"/>
  <pivotCaches>
    <pivotCache cacheId="0" r:id="rId9"/>
  </pivotCaches>
  <fileRecoveryPr repairLoad="1"/>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 i="9" l="1"/>
  <c r="H36" i="9"/>
  <c r="G36" i="9"/>
  <c r="F36" i="9"/>
  <c r="B4" i="3" a="1"/>
  <c r="B4" i="3" s="1"/>
  <c r="D14" i="3"/>
  <c r="D9" i="3"/>
  <c r="D15" i="3"/>
  <c r="D5" i="3"/>
  <c r="D6" i="3"/>
  <c r="D4" i="3"/>
  <c r="D10" i="3"/>
  <c r="D7" i="3"/>
  <c r="D11" i="3"/>
  <c r="D13" i="3"/>
  <c r="D12" i="3"/>
  <c r="D8" i="3"/>
  <c r="C11" i="2"/>
  <c r="C7" i="2"/>
  <c r="I4" i="2"/>
  <c r="J4" i="3" a="1"/>
  <c r="J4" i="3" s="1"/>
  <c r="H4" i="3" a="1"/>
  <c r="H4" i="3" s="1"/>
  <c r="F3" i="2"/>
  <c r="E3" i="2"/>
  <c r="C3" i="2"/>
  <c r="B3" i="2"/>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J36"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tc={4ACDBCEC-CED4-4960-8C6D-9085A46CA33F}</author>
    <author>tc={73A0E5FE-EDD5-4F00-AF4C-14C7ADB39070}</author>
    <author>tc={F1D5442E-DDFD-4079-9A6D-6ED732FD4DB7}</author>
  </authors>
  <commentList>
    <comment ref="G1" authorId="0" shapeId="0" xr:uid="{4ACDBCEC-CED4-4960-8C6D-9085A46CA33F}">
      <text>
        <t>[Threaded comment]
Your version of Excel allows you to read this threaded comment; however, any edits to it will get removed if the file is opened in a newer version of Excel. Learn more: https://go.microsoft.com/fwlink/?linkid=870924
Comment:
    Converted the “Sales” and “Profit” datatype from text to currency $</t>
      </text>
    </comment>
    <comment ref="I1" authorId="1" shapeId="0" xr:uid="{73A0E5FE-EDD5-4F00-AF4C-14C7ADB39070}">
      <text>
        <t>[Threaded comment]
Your version of Excel allows you to read this threaded comment; however, any edits to it will get removed if the file is opened in a newer version of Excel. Learn more: https://go.microsoft.com/fwlink/?linkid=870924
Comment:
    Added a new column for “Profit Margin %”
formula: =([@Profit]/[@Sales])*100</t>
      </text>
    </comment>
    <comment ref="B2" authorId="2" shapeId="0" xr:uid="{F1D5442E-DDFD-4079-9A6D-6ED732FD4DB7}">
      <text>
        <t>[Threaded comment]
Your version of Excel allows you to read this threaded comment; however, any edits to it will get removed if the file is opened in a newer version of Excel. Learn more: https://go.microsoft.com/fwlink/?linkid=870924
Comment:
    Created a new column for numbering the Month of the year in ordinal format for future arragment:
formula: =MONTH(DATEVALUE(A1 &amp; " 1"))</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<sst xmlns="http://schemas.openxmlformats.org/spreadsheetml/2006/main" count="1971" uniqueCount="82">
  <si>
    <t>Month</t>
  </si>
  <si>
    <t>Seller</t>
  </si>
  <si>
    <t>Category</t>
  </si>
  <si>
    <t>Product</t>
  </si>
  <si>
    <t>State</t>
  </si>
  <si>
    <t>Sales</t>
  </si>
  <si>
    <t>Profit</t>
  </si>
  <si>
    <t>May</t>
  </si>
  <si>
    <t>Dave</t>
  </si>
  <si>
    <t>Electronics</t>
  </si>
  <si>
    <t>Smartphone</t>
  </si>
  <si>
    <t>California</t>
  </si>
  <si>
    <t>Nov</t>
  </si>
  <si>
    <t>Frank</t>
  </si>
  <si>
    <t>Clothing</t>
  </si>
  <si>
    <t>Jeans</t>
  </si>
  <si>
    <t>Texas</t>
  </si>
  <si>
    <t>Jun</t>
  </si>
  <si>
    <t>Eve</t>
  </si>
  <si>
    <t>Sports &amp; Fitness</t>
  </si>
  <si>
    <t>Yoga Mat</t>
  </si>
  <si>
    <t>New York</t>
  </si>
  <si>
    <t>Dec</t>
  </si>
  <si>
    <t>Food &amp; Beverages</t>
  </si>
  <si>
    <t>Snacks</t>
  </si>
  <si>
    <t>Feb</t>
  </si>
  <si>
    <t>Jacket</t>
  </si>
  <si>
    <t>Florida</t>
  </si>
  <si>
    <t>Mar</t>
  </si>
  <si>
    <t>Bob</t>
  </si>
  <si>
    <t>Juice</t>
  </si>
  <si>
    <t>Carol</t>
  </si>
  <si>
    <t>Bicycle</t>
  </si>
  <si>
    <t>Illinois</t>
  </si>
  <si>
    <t>Home Appliances</t>
  </si>
  <si>
    <t>Microwave</t>
  </si>
  <si>
    <t>Jan</t>
  </si>
  <si>
    <t>Jul</t>
  </si>
  <si>
    <t>Alice</t>
  </si>
  <si>
    <t>Apr</t>
  </si>
  <si>
    <t>Aug</t>
  </si>
  <si>
    <t>Dumbbells</t>
  </si>
  <si>
    <t>T-Shirt</t>
  </si>
  <si>
    <t>Dishwasher</t>
  </si>
  <si>
    <t>Tea</t>
  </si>
  <si>
    <t>Sweater</t>
  </si>
  <si>
    <t>Headphones</t>
  </si>
  <si>
    <t>Pennsylvania</t>
  </si>
  <si>
    <t>Grace</t>
  </si>
  <si>
    <t>Refrigerator</t>
  </si>
  <si>
    <t>Camera</t>
  </si>
  <si>
    <t>Oct</t>
  </si>
  <si>
    <t>Treadmill</t>
  </si>
  <si>
    <t>Laptop</t>
  </si>
  <si>
    <t>Sep</t>
  </si>
  <si>
    <t>Coffee</t>
  </si>
  <si>
    <t>Toaster</t>
  </si>
  <si>
    <t>Month No</t>
  </si>
  <si>
    <t>Profit Margin (%)</t>
  </si>
  <si>
    <t>Total Sales</t>
  </si>
  <si>
    <t>Total Profit</t>
  </si>
  <si>
    <t>Average Sales</t>
  </si>
  <si>
    <t>Average Profit</t>
  </si>
  <si>
    <t>Profit Margin (%) by Category</t>
  </si>
  <si>
    <t>For Validation</t>
  </si>
  <si>
    <t>Total Sales by State</t>
  </si>
  <si>
    <t>Average Sales by Month</t>
  </si>
  <si>
    <t>Grand Total</t>
  </si>
  <si>
    <t>Sum of Sales</t>
  </si>
  <si>
    <t>Sum of Profit</t>
  </si>
  <si>
    <t>Average of Profit Margin (%)</t>
  </si>
  <si>
    <t>Count of Sales</t>
  </si>
  <si>
    <t>Category, Product</t>
  </si>
  <si>
    <t>No of Category</t>
  </si>
  <si>
    <t>No of Product</t>
  </si>
  <si>
    <t>No of State</t>
  </si>
  <si>
    <t>No of Seller</t>
  </si>
  <si>
    <t>No of Sales</t>
  </si>
  <si>
    <t xml:space="preserve">  </t>
  </si>
  <si>
    <t>Max of Sales</t>
  </si>
  <si>
    <t>Max of Profit</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</si>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</sst>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409]* #,##0.00_ ;_-[$$-409]* \-#,##0.00\ ;_-[$$-409]* &quot;-&quot;??_ ;_-@_ "/>
    <numFmt numFmtId="165" formatCode="_-* #,##0_-;\-* #,##0_-;_-* &quot;-&quot;??_-;_-@_-"/>
  </numFmts>
  <fonts count="9">
    <font>
      <sz val="10"/>
      <color rgb="FF000000"/>
      <name val="Arial"/>
      <scheme val="minor"/>
    </font>
    <font>
      <b/>
      <sz val="11"/>
      <color rgb="FFFFFFFF"/>
      <name val="&quot;Aptos Narrow&quot;"/>
    </font>
    <font>
      <sz val="11"/>
      <color rgb="FF000000"/>
      <name val="&quot;Aptos Narrow&quot;"/>
    </font>
    <font>
      <sz val="10"/>
      <color rgb="FF000000"/>
      <name val="Arial"/>
      <scheme val="minor"/>
    </font>
    <font>
      <b/>
      <sz val="10"/>
      <color rgb="FF000000"/>
      <name val="Arial"/>
      <family val="2"/>
      <scheme val="minor"/>
    </font>
    <font>
      <b/>
      <sz val="10"/>
      <color theme="0"/>
      <name val="Arial"/>
      <family val="2"/>
      <scheme val="minor"/>
    </font>
    <font>
      <sz val="10"/>
      <color rgb="FF000000"/>
      <name val="Arial"/>
      <family val="2"/>
      <scheme val="minor"/>
    </font>
    <font>
      <i/>
      <sz val="10"/>
      <color rgb="FF000000"/>
      <name val="Arial"/>
      <family val="2"/>
      <scheme val="minor"/>
    </font>
    <font>
      <b/>
      <sz val="10"/>
      <color theme="1"/>
      <name val="Arial"/>
      <scheme val="minor"/>
    </font>
  </fonts>
  <fills count="8">
    <fill>
      <patternFill patternType="none"/>
    </fill>
    <fill>
      <patternFill patternType="gray125"/>
    </fill>
    <fill>
      <patternFill patternType="solid">
        <fgColor rgb="FF156082"/>
        <bgColor rgb="FF156082"/>
      </patternFill>
    </fill>
    <fill>
      <patternFill patternType="solid">
        <fgColor theme="9" tint="-0.499984740745262"/>
        <bgColor indexed="64"/>
      </patternFill>
    </fill>
    <fill>
      <patternFill patternType="solid">
        <fgColor theme="4" tint="-0.499984740745262"/>
        <bgColor indexed="64"/>
      </patternFill>
    </fill>
    <fill>
      <patternFill patternType="solid">
        <fgColor theme="3" tint="4.9989318521683403E-2"/>
        <bgColor indexed="64"/>
      </patternFill>
    </fill>
    <fill>
      <patternFill patternType="solid">
        <fgColor theme="4" tint="0.79998168889431442"/>
        <bgColor indexed="64"/>
      </patternFill>
    </fill>
    <fill>
      <patternFill patternType="solid">
        <fgColor theme="4" tint="0.79998168889431442"/>
        <bgColor theme="4" tint="0.79998168889431442"/>
      </patternFill>
    </fill>
  </fills>
  <borders count="11">
    <border>
      <left/>
      <right/>
      <top/>
      <bottom/>
      <diagonal/>
    </border>
    <border>
      <left style="thin">
        <color rgb="FF156082"/>
      </left>
      <right/>
      <top style="thin">
        <color rgb="FF156082"/>
      </top>
      <bottom/>
      <diagonal/>
    </border>
    <border>
      <left/>
      <right/>
      <top style="thin">
        <color rgb="FF156082"/>
      </top>
      <bottom/>
      <diagonal/>
    </border>
    <border>
      <left/>
      <right style="thin">
        <color rgb="FF156082"/>
      </right>
      <top style="thin">
        <color rgb="FF156082"/>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top/>
      <bottom style="thin">
        <color theme="4" tint="0.39997558519241921"/>
      </bottom>
      <diagonal/>
    </border>
  </borders>
  <cellStyleXfs count="2">
    <xf numFmtId="0" fontId="0" fillId="0" borderId="0"/>
    <xf numFmtId="43" fontId="3" fillId="0" borderId="0" applyFont="0" applyFill="0" applyBorder="0" applyAlignment="0" applyProtection="0"/>
  </cellStyleXfs>
  <cellXfs count="36">
    <xf numFmtId="0" fontId="0" fillId="0" borderId="0" xfId="0"/>
    <xf numFmtId="0" fontId="2" fillId="0" borderId="1" xfId="0" applyFont="1" applyBorder="1"/>
    <xf numFmtId="0" fontId="2" fillId="0" borderId="2" xfId="0" applyFont="1" applyBorder="1"/>
    <xf numFmtId="0" fontId="1" fillId="2" borderId="4" xfId="0" applyFont="1" applyFill="1" applyBorder="1" applyAlignment="1">
      <alignment horizontal="left" vertical="top"/>
    </xf>
    <xf numFmtId="164" fontId="1" fillId="2" borderId="4" xfId="0" applyNumberFormat="1" applyFont="1" applyFill="1" applyBorder="1" applyAlignment="1">
      <alignment horizontal="left" vertical="top"/>
    </xf>
    <xf numFmtId="164" fontId="2" fillId="0" borderId="2" xfId="0" applyNumberFormat="1" applyFont="1" applyBorder="1" applyAlignment="1">
      <alignment horizontal="right"/>
    </xf>
    <xf numFmtId="164" fontId="0" fillId="0" borderId="0" xfId="0" applyNumberFormat="1"/>
    <xf numFmtId="164" fontId="2" fillId="0" borderId="3" xfId="0" applyNumberFormat="1" applyFont="1" applyBorder="1" applyAlignment="1">
      <alignment horizontal="right"/>
    </xf>
    <xf numFmtId="43" fontId="1" fillId="2" borderId="4" xfId="1" applyFont="1" applyFill="1" applyBorder="1" applyAlignment="1">
      <alignment horizontal="left" vertical="top"/>
    </xf>
    <xf numFmtId="43" fontId="2" fillId="0" borderId="0" xfId="1" applyFont="1" applyBorder="1" applyAlignment="1">
      <alignment horizontal="right"/>
    </xf>
    <xf numFmtId="43" fontId="0" fillId="0" borderId="0" xfId="1" applyFont="1"/>
    <xf numFmtId="0" fontId="0" fillId="0" borderId="0" xfId="0" applyAlignment="1">
      <alignment horizontal="right" vertical="center"/>
    </xf>
    <xf numFmtId="0" fontId="5" fillId="3" borderId="5" xfId="0" applyFont="1" applyFill="1" applyBorder="1"/>
    <xf numFmtId="0" fontId="0" fillId="0" borderId="5" xfId="0" applyBorder="1"/>
    <xf numFmtId="0" fontId="5" fillId="4" borderId="6" xfId="0" applyFont="1" applyFill="1" applyBorder="1" applyAlignment="1">
      <alignment horizontal="right" vertical="center" wrapText="1"/>
    </xf>
    <xf numFmtId="0" fontId="4" fillId="0" borderId="5" xfId="0" applyFont="1" applyBorder="1" applyAlignment="1">
      <alignment horizontal="right" vertical="center"/>
    </xf>
    <xf numFmtId="0" fontId="4" fillId="0" borderId="8" xfId="0" applyFont="1" applyBorder="1" applyAlignment="1">
      <alignment horizontal="right" vertical="center"/>
    </xf>
    <xf numFmtId="0" fontId="5" fillId="5" borderId="5" xfId="0" applyFont="1" applyFill="1" applyBorder="1" applyAlignment="1">
      <alignment horizontal="right" vertical="center"/>
    </xf>
    <xf numFmtId="164" fontId="0" fillId="0" borderId="5" xfId="0" applyNumberFormat="1" applyBorder="1" applyAlignment="1">
      <alignment horizontal="right" vertical="center"/>
    </xf>
    <xf numFmtId="43" fontId="0" fillId="0" borderId="7" xfId="1" applyFont="1" applyBorder="1" applyAlignment="1">
      <alignment horizontal="right" vertical="center"/>
    </xf>
    <xf numFmtId="0" fontId="6" fillId="0" borderId="0" xfId="0" applyFont="1"/>
    <xf numFmtId="164" fontId="0" fillId="0" borderId="7" xfId="1" applyNumberFormat="1" applyFont="1" applyBorder="1" applyAlignment="1">
      <alignment horizontal="right" vertical="center"/>
    </xf>
    <xf numFmtId="0" fontId="5" fillId="3" borderId="0" xfId="0" applyFont="1" applyFill="1"/>
    <xf numFmtId="0" fontId="0" fillId="0" borderId="5" xfId="0" applyBorder="1" applyAlignment="1">
      <alignment horizontal="left"/>
    </xf>
    <xf numFmtId="0" fontId="0" fillId="0" borderId="0" xfId="0" pivotButton="1"/>
    <xf numFmtId="0" fontId="0" fillId="0" borderId="0" xfId="0" applyAlignment="1">
      <alignment horizontal="left"/>
    </xf>
    <xf numFmtId="0" fontId="0" fillId="0" borderId="0" xfId="0" applyAlignment="1">
      <alignment horizontal="left" indent="1"/>
    </xf>
    <xf numFmtId="43" fontId="0" fillId="0" borderId="0" xfId="0" applyNumberFormat="1"/>
    <xf numFmtId="0" fontId="8" fillId="7" borderId="10" xfId="0" applyFont="1" applyFill="1" applyBorder="1" applyAlignment="1">
      <alignment horizontal="right" vertical="center"/>
    </xf>
    <xf numFmtId="165" fontId="0" fillId="0" borderId="0" xfId="1" applyNumberFormat="1" applyFont="1" applyAlignment="1">
      <alignment horizontal="right" vertical="center"/>
    </xf>
    <xf numFmtId="0" fontId="5" fillId="5" borderId="0" xfId="0" applyFont="1" applyFill="1" applyAlignment="1">
      <alignment horizontal="center" vertical="center"/>
    </xf>
    <xf numFmtId="0" fontId="7" fillId="0" borderId="9" xfId="0" applyFont="1" applyBorder="1" applyAlignment="1">
      <alignment horizontal="left" vertical="center" indent="1"/>
    </xf>
    <xf numFmtId="0" fontId="7" fillId="0" borderId="0" xfId="0" applyFont="1" applyAlignment="1">
      <alignment horizontal="left" vertical="center" indent="1"/>
    </xf>
    <xf numFmtId="0" fontId="0" fillId="6" borderId="0" xfId="0" applyFill="1" applyBorder="1"/>
    <xf numFmtId="0" fontId="6" fillId="6" borderId="0" xfId="0" applyFont="1" applyFill="1" applyBorder="1"/>
    <xf numFmtId="0" fontId="0" fillId="0" borderId="0" xfId="0" applyNumberFormat="1"/>
  </cellXfs>
  <cellStyles count="2">
    <cellStyle name="Comma" xfId="1" builtinId="3"/>
    <cellStyle name="Normal" xfId="0" builtinId="0"/>
  </cellStyles>
  <dxfs count="18">
    <dxf>
      <font>
        <sz val="10"/>
        <color theme="0"/>
        <name val="Bahnschrift SemiBold SemiConden"/>
        <family val="2"/>
        <scheme val="none"/>
      </font>
      <fill>
        <patternFill patternType="none">
          <bgColor auto="1"/>
        </patternFill>
      </fill>
      <border diagonalUp="0" diagonalDown="0">
        <left style="thin">
          <color theme="4"/>
        </left>
        <right style="thin">
          <color theme="4"/>
        </right>
        <top style="thin">
          <color theme="4"/>
        </top>
        <bottom style="thin">
          <color theme="4"/>
        </bottom>
        <vertical/>
        <horizontal/>
      </border>
    </dxf>
    <dxf>
      <font>
        <sz val="9"/>
        <color theme="0"/>
        <name val="Bahnschrift Light SemiCondensed"/>
        <family val="2"/>
        <scheme val="none"/>
      </font>
      <fill>
        <patternFill patternType="solid">
          <fgColor auto="1"/>
          <bgColor theme="9" tint="-0.24994659260841701"/>
        </patternFill>
      </fill>
      <border diagonalUp="0" diagonalDown="0">
        <left/>
        <right/>
        <top/>
        <bottom/>
        <vertical/>
        <horizontal/>
      </border>
    </dxf>
    <dxf>
      <font>
        <sz val="8"/>
        <color theme="0"/>
        <name val="Bahnschrift Light SemiCondensed"/>
        <family val="2"/>
        <scheme val="none"/>
      </font>
      <border diagonalUp="0" diagonalDown="0">
        <left style="thin">
          <color auto="1"/>
        </left>
        <right style="thin">
          <color auto="1"/>
        </right>
        <top style="thin">
          <color auto="1"/>
        </top>
        <bottom style="thin">
          <color auto="1"/>
        </bottom>
        <vertical/>
        <horizontal/>
      </border>
    </dxf>
    <dxf>
      <font>
        <strike val="0"/>
        <sz val="8"/>
        <color theme="0"/>
        <name val="Bahnschrift SemiBold SemiConden"/>
        <family val="2"/>
        <scheme val="none"/>
      </font>
      <fill>
        <patternFill>
          <bgColor theme="1" tint="0.14996795556505021"/>
        </patternFill>
      </fill>
      <border diagonalUp="0" diagonalDown="0">
        <left/>
        <right/>
        <top/>
        <bottom/>
        <vertical/>
        <horizontal/>
      </border>
    </dxf>
    <dxf>
      <font>
        <b val="0"/>
        <i val="0"/>
        <strike val="0"/>
        <condense val="0"/>
        <extend val="0"/>
        <outline val="0"/>
        <shadow val="0"/>
        <u val="none"/>
        <vertAlign val="baseline"/>
        <sz val="11"/>
        <color rgb="FF000000"/>
        <name val="&quot;Aptos Narrow&quot;"/>
        <scheme val="none"/>
      </font>
      <border diagonalUp="0" diagonalDown="0">
        <left/>
        <right/>
        <top style="thin">
          <color rgb="FF156082"/>
        </top>
        <bottom/>
        <vertical/>
        <horizontal/>
      </border>
    </dxf>
    <dxf>
      <font>
        <b val="0"/>
        <i val="0"/>
        <strike val="0"/>
        <condense val="0"/>
        <extend val="0"/>
        <outline val="0"/>
        <shadow val="0"/>
        <u val="none"/>
        <vertAlign val="baseline"/>
        <sz val="11"/>
        <color rgb="FF000000"/>
        <name val="&quot;Aptos Narrow&quot;"/>
        <scheme val="none"/>
      </font>
      <numFmt numFmtId="164" formatCode="_-[$$-409]* #,##0.00_ ;_-[$$-409]* \-#,##0.00\ ;_-[$$-409]* &quot;-&quot;??_ ;_-@_ "/>
      <alignment horizontal="right" vertical="bottom" textRotation="0" wrapText="0" indent="0" justifyLastLine="0" shrinkToFit="0" readingOrder="0"/>
      <border diagonalUp="0" diagonalDown="0" outline="0">
        <left/>
        <right style="thin">
          <color rgb="FF156082"/>
        </right>
        <top style="thin">
          <color rgb="FF156082"/>
        </top>
        <bottom/>
      </border>
    </dxf>
    <dxf>
      <font>
        <b val="0"/>
        <i val="0"/>
        <strike val="0"/>
        <condense val="0"/>
        <extend val="0"/>
        <outline val="0"/>
        <shadow val="0"/>
        <u val="none"/>
        <vertAlign val="baseline"/>
        <sz val="11"/>
        <color rgb="FF000000"/>
        <name val="&quot;Aptos Narrow&quot;"/>
        <scheme val="none"/>
      </font>
      <numFmt numFmtId="164" formatCode="_-[$$-409]* #,##0.00_ ;_-[$$-409]* \-#,##0.00\ ;_-[$$-409]* &quot;-&quot;??_ ;_-@_ "/>
      <alignment horizontal="right" vertical="bottom" textRotation="0" wrapText="0" indent="0" justifyLastLine="0" shrinkToFit="0" readingOrder="0"/>
      <border diagonalUp="0" diagonalDown="0" outline="0">
        <left/>
        <right/>
        <top style="thin">
          <color rgb="FF156082"/>
        </top>
        <bottom/>
      </border>
    </dxf>
    <dxf>
      <font>
        <b val="0"/>
        <i val="0"/>
        <strike val="0"/>
        <condense val="0"/>
        <extend val="0"/>
        <outline val="0"/>
        <shadow val="0"/>
        <u val="none"/>
        <vertAlign val="baseline"/>
        <sz val="11"/>
        <color rgb="FF000000"/>
        <name val="&quot;Aptos Narrow&quot;"/>
        <scheme val="none"/>
      </font>
      <border diagonalUp="0" diagonalDown="0">
        <left/>
        <right/>
        <top style="thin">
          <color rgb="FF156082"/>
        </top>
        <bottom/>
        <vertical/>
        <horizontal/>
      </border>
    </dxf>
    <dxf>
      <font>
        <b val="0"/>
        <i val="0"/>
        <strike val="0"/>
        <condense val="0"/>
        <extend val="0"/>
        <outline val="0"/>
        <shadow val="0"/>
        <u val="none"/>
        <vertAlign val="baseline"/>
        <sz val="11"/>
        <color rgb="FF000000"/>
        <name val="&quot;Aptos Narrow&quot;"/>
        <scheme val="none"/>
      </font>
      <border diagonalUp="0" diagonalDown="0">
        <left/>
        <right/>
        <top style="thin">
          <color rgb="FF156082"/>
        </top>
        <bottom/>
        <vertical/>
        <horizontal/>
      </border>
    </dxf>
    <dxf>
      <font>
        <b val="0"/>
        <i val="0"/>
        <strike val="0"/>
        <condense val="0"/>
        <extend val="0"/>
        <outline val="0"/>
        <shadow val="0"/>
        <u val="none"/>
        <vertAlign val="baseline"/>
        <sz val="11"/>
        <color rgb="FF000000"/>
        <name val="&quot;Aptos Narrow&quot;"/>
        <scheme val="none"/>
      </font>
      <border diagonalUp="0" diagonalDown="0">
        <left/>
        <right/>
        <top style="thin">
          <color rgb="FF156082"/>
        </top>
        <bottom/>
        <vertical/>
        <horizontal/>
      </border>
    </dxf>
    <dxf>
      <font>
        <b val="0"/>
        <i val="0"/>
        <strike val="0"/>
        <condense val="0"/>
        <extend val="0"/>
        <outline val="0"/>
        <shadow val="0"/>
        <u val="none"/>
        <vertAlign val="baseline"/>
        <sz val="11"/>
        <color rgb="FF000000"/>
        <name val="&quot;Aptos Narrow&quot;"/>
        <scheme val="none"/>
      </font>
      <border diagonalUp="0" diagonalDown="0">
        <left/>
        <right/>
        <top style="thin">
          <color rgb="FF156082"/>
        </top>
        <bottom/>
        <vertical/>
        <horizontal/>
      </border>
    </dxf>
    <dxf>
      <font>
        <b val="0"/>
        <i val="0"/>
        <strike val="0"/>
        <condense val="0"/>
        <extend val="0"/>
        <outline val="0"/>
        <shadow val="0"/>
        <u val="none"/>
        <vertAlign val="baseline"/>
        <sz val="11"/>
        <color rgb="FF000000"/>
        <name val="&quot;Aptos Narrow&quot;"/>
        <scheme val="none"/>
      </font>
      <numFmt numFmtId="0" formatCode="General"/>
      <border diagonalUp="0" diagonalDown="0">
        <left/>
        <right/>
        <top style="thin">
          <color rgb="FF156082"/>
        </top>
        <bottom/>
        <vertical/>
        <horizontal/>
      </border>
    </dxf>
    <dxf>
      <font>
        <b val="0"/>
        <i val="0"/>
        <strike val="0"/>
        <condense val="0"/>
        <extend val="0"/>
        <outline val="0"/>
        <shadow val="0"/>
        <u val="none"/>
        <vertAlign val="baseline"/>
        <sz val="11"/>
        <color rgb="FF000000"/>
        <name val="&quot;Aptos Narrow&quot;"/>
        <scheme val="none"/>
      </font>
      <border diagonalUp="0" diagonalDown="0">
        <left style="thin">
          <color rgb="FF156082"/>
        </left>
        <right/>
        <top style="thin">
          <color rgb="FF156082"/>
        </top>
        <bottom/>
        <vertical/>
        <horizontal/>
      </border>
    </dxf>
    <dxf>
      <border outline="0">
        <top style="thin">
          <color rgb="FF156082"/>
        </top>
      </border>
    </dxf>
    <dxf>
      <border outline="0">
        <top style="thin">
          <color rgb="FF000000"/>
        </top>
        <bottom style="thin">
          <color rgb="FF156082"/>
        </bottom>
      </border>
    </dxf>
    <dxf>
      <font>
        <b val="0"/>
        <i val="0"/>
        <strike val="0"/>
        <condense val="0"/>
        <extend val="0"/>
        <outline val="0"/>
        <shadow val="0"/>
        <u val="none"/>
        <vertAlign val="baseline"/>
        <sz val="11"/>
        <color rgb="FF000000"/>
        <name val="&quot;Aptos Narrow&quot;"/>
        <scheme val="none"/>
      </font>
    </dxf>
    <dxf>
      <border outline="0">
        <bottom style="thin">
          <color rgb="FF000000"/>
        </bottom>
      </border>
    </dxf>
    <dxf>
      <font>
        <b/>
        <i val="0"/>
        <strike val="0"/>
        <condense val="0"/>
        <extend val="0"/>
        <outline val="0"/>
        <shadow val="0"/>
        <u val="none"/>
        <vertAlign val="baseline"/>
        <sz val="11"/>
        <color rgb="FFFFFFFF"/>
        <name val="&quot;Aptos Narrow&quot;"/>
        <scheme val="none"/>
      </font>
      <fill>
        <patternFill patternType="solid">
          <fgColor rgb="FF156082"/>
          <bgColor rgb="FF156082"/>
        </patternFill>
      </fill>
      <alignment horizontal="left" vertical="top" textRotation="0" wrapText="0" indent="0" justifyLastLine="0" shrinkToFit="0" readingOrder="0"/>
      <border diagonalUp="0" diagonalDown="0" outline="0">
        <left style="thin">
          <color rgb="FF000000"/>
        </left>
        <right style="thin">
          <color rgb="FF000000"/>
        </right>
        <top/>
        <bottom/>
      </border>
    </dxf>
  </dxfs>
  <tableStyles count="2" defaultTableStyle="TableStyleMedium2" defaultPivotStyle="PivotStyleLight16">
    <tableStyle name="Slicer Style 1" pivot="0" table="0" count="2" xr9:uid="{5BA8092D-33EF-444B-8BF5-1CEE1F614727}">
      <tableStyleElement type="wholeTable" dxfId="3"/>
      <tableStyleElement type="headerRow" dxfId="2"/>
    </tableStyle>
    <tableStyle name="SlicerStyleDark1 2" pivot="0" table="0" count="10" xr9:uid="{BBA78459-210C-4415-8CAC-8AC6D009BC28}">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9"/>
            <color rgb="FF000000"/>
            <name val="Bahnschrift SemiBold SemiConden"/>
            <family val="2"/>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theme="4" tint="-0.249977111117893"/>
            <name val="Bahnschrift SemiBold SemiConden"/>
            <family val="2"/>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val="0"/>
            <i val="0"/>
            <sz val="9"/>
            <color theme="1"/>
            <name val="Bahnschrift SemiBold SemiConden"/>
            <family val="2"/>
          </font>
          <fill>
            <patternFill patternType="solid">
              <fgColor theme="4"/>
              <bgColor theme="9" tint="0.59996337778862885"/>
            </patternFill>
          </fill>
          <border>
            <left style="thin">
              <color theme="4"/>
            </left>
            <right style="thin">
              <color theme="4"/>
            </right>
            <top style="thin">
              <color theme="4"/>
            </top>
            <bottom style="thin">
              <color theme="4"/>
            </bottom>
            <vertical/>
            <horizontal/>
          </border>
        </dxf>
        <dxf>
          <font>
            <sz val="9"/>
            <color rgb="FF959595"/>
            <name val="Bahnschrift SemiBold SemiConden"/>
            <family val="2"/>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theme="0"/>
            <name val="Bahnschrift SemiBold SemiConden"/>
            <family val="2"/>
          </font>
          <fill>
            <patternFill patternType="solid">
              <fgColor rgb="FFC0C0C0"/>
              <bgColor theme="9" tint="-0.24994659260841701"/>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- 10Analytics Excel Formulas for Analytics Case Study.xlsx]Pivot (State)!PivotTable14</c:name>
    <c:fmtId val="3"/>
  </c:pivotSource>
  <c:chart>
    <c:title>
      <c:tx>
        <c:rich>
          <a:bodyPr rot="0" spcFirstLastPara="1" vertOverflow="ellipsis" vert="horz" wrap="square" anchor="ctr" anchorCtr="1"/>
          <a:lstStyle/>
          <a:p>
            <a:pPr>
              <a:defRPr sz="960" b="1" i="0" u="none" strike="noStrike" kern="1200" spc="0" baseline="0">
                <a:solidFill>
                  <a:schemeClr val="tx1">
                    <a:lumMod val="65000"/>
                    <a:lumOff val="35000"/>
                  </a:schemeClr>
                </a:solidFill>
                <a:latin typeface="+mn-lt"/>
                <a:ea typeface="+mn-ea"/>
                <a:cs typeface="+mn-cs"/>
              </a:defRPr>
            </a:pPr>
            <a:r>
              <a:rPr lang="en-US"/>
              <a:t>Total Sales, Total Profit and Average Profit Margin(%) by State</a:t>
            </a:r>
          </a:p>
        </c:rich>
      </c:tx>
      <c:overlay val="0"/>
      <c:spPr>
        <a:noFill/>
        <a:ln>
          <a:noFill/>
        </a:ln>
        <a:effectLst/>
      </c:spPr>
      <c:txPr>
        <a:bodyPr rot="0" spcFirstLastPara="1" vertOverflow="ellipsis" vert="horz" wrap="square" anchor="ctr" anchorCtr="1"/>
        <a:lstStyle/>
        <a:p>
          <a:pPr>
            <a:defRPr sz="960" b="1" i="0" u="none" strike="noStrike" kern="1200" spc="0" baseline="0">
              <a:solidFill>
                <a:schemeClr val="tx1">
                  <a:lumMod val="65000"/>
                  <a:lumOff val="35000"/>
                </a:schemeClr>
              </a:solidFill>
              <a:latin typeface="+mn-lt"/>
              <a:ea typeface="+mn-ea"/>
              <a:cs typeface="+mn-cs"/>
            </a:defRPr>
          </a:pPr>
          <a:endParaRPr lang="en-FI"/>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mn-lt"/>
                  <a:ea typeface="+mn-ea"/>
                  <a:cs typeface="+mn-cs"/>
                </a:defRPr>
              </a:pPr>
              <a:endParaRPr lang="en-FI"/>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497515919916"/>
          <c:y val="0.42572891506057609"/>
          <c:w val="0.76579476475802544"/>
          <c:h val="0.49932407567348347"/>
        </c:manualLayout>
      </c:layout>
      <c:barChart>
        <c:barDir val="col"/>
        <c:grouping val="clustered"/>
        <c:varyColors val="0"/>
        <c:ser>
          <c:idx val="0"/>
          <c:order val="0"/>
          <c:tx>
            <c:strRef>
              <c:f>'Pivot (State)'!$B$3</c:f>
              <c:strCache>
                <c:ptCount val="1"/>
                <c:pt idx="0">
                  <c:v>Sum of Sales</c:v>
                </c:pt>
              </c:strCache>
            </c:strRef>
          </c:tx>
          <c:spPr>
            <a:solidFill>
              <a:schemeClr val="accent5"/>
            </a:solidFill>
            <a:ln>
              <a:noFill/>
            </a:ln>
            <a:effectLst/>
          </c:spPr>
          <c:invertIfNegative val="0"/>
          <c:cat>
            <c:strRef>
              <c:f>'Pivot (State)'!$A$4:$A$10</c:f>
              <c:strCache>
                <c:ptCount val="6"/>
                <c:pt idx="0">
                  <c:v>California</c:v>
                </c:pt>
                <c:pt idx="1">
                  <c:v>Florida</c:v>
                </c:pt>
                <c:pt idx="2">
                  <c:v>Illinois</c:v>
                </c:pt>
                <c:pt idx="3">
                  <c:v>New York</c:v>
                </c:pt>
                <c:pt idx="4">
                  <c:v>Pennsylvania</c:v>
                </c:pt>
                <c:pt idx="5">
                  <c:v>Texas</c:v>
                </c:pt>
              </c:strCache>
            </c:strRef>
          </c:cat>
          <c:val>
            <c:numRef>
              <c:f>'Pivot (State)'!$B$4:$B$10</c:f>
              <c:numCache>
                <c:formatCode>_-[$$-409]* #\ ##0.00_ ;_-[$$-409]* \-#\ ##0.00\ ;_-[$$-409]* "-"??_ ;_-@_ </c:formatCode>
                <c:ptCount val="6"/>
                <c:pt idx="0">
                  <c:v>302292.71000000002</c:v>
                </c:pt>
                <c:pt idx="1">
                  <c:v>124960.35</c:v>
                </c:pt>
                <c:pt idx="2">
                  <c:v>123245.15000000001</c:v>
                </c:pt>
                <c:pt idx="3">
                  <c:v>172765.65000000002</c:v>
                </c:pt>
                <c:pt idx="4">
                  <c:v>129640.7</c:v>
                </c:pt>
                <c:pt idx="5">
                  <c:v>128235.65</c:v>
                </c:pt>
              </c:numCache>
            </c:numRef>
          </c:val>
          <c:extLst>
            <c:ext xmlns:c16="http://schemas.microsoft.com/office/drawing/2014/chart" uri="{C3380CC4-5D6E-409C-BE32-E72D297353CC}">
              <c16:uniqueId val="{00000000-1728-412E-BD8E-DC3A01E19006}"/>
            </c:ext>
          </c:extLst>
        </c:ser>
        <c:ser>
          <c:idx val="1"/>
          <c:order val="1"/>
          <c:tx>
            <c:strRef>
              <c:f>'Pivot (State)'!$C$3</c:f>
              <c:strCache>
                <c:ptCount val="1"/>
                <c:pt idx="0">
                  <c:v>Sum of Profit</c:v>
                </c:pt>
              </c:strCache>
            </c:strRef>
          </c:tx>
          <c:spPr>
            <a:solidFill>
              <a:schemeClr val="accent3"/>
            </a:solidFill>
            <a:ln>
              <a:noFill/>
            </a:ln>
            <a:effectLst/>
          </c:spPr>
          <c:invertIfNegative val="0"/>
          <c:cat>
            <c:strRef>
              <c:f>'Pivot (State)'!$A$4:$A$10</c:f>
              <c:strCache>
                <c:ptCount val="6"/>
                <c:pt idx="0">
                  <c:v>California</c:v>
                </c:pt>
                <c:pt idx="1">
                  <c:v>Florida</c:v>
                </c:pt>
                <c:pt idx="2">
                  <c:v>Illinois</c:v>
                </c:pt>
                <c:pt idx="3">
                  <c:v>New York</c:v>
                </c:pt>
                <c:pt idx="4">
                  <c:v>Pennsylvania</c:v>
                </c:pt>
                <c:pt idx="5">
                  <c:v>Texas</c:v>
                </c:pt>
              </c:strCache>
            </c:strRef>
          </c:cat>
          <c:val>
            <c:numRef>
              <c:f>'Pivot (State)'!$C$4:$C$10</c:f>
              <c:numCache>
                <c:formatCode>_-[$$-409]* #\ ##0.00_ ;_-[$$-409]* \-#\ ##0.00\ ;_-[$$-409]* "-"??_ ;_-@_ </c:formatCode>
                <c:ptCount val="6"/>
                <c:pt idx="0">
                  <c:v>141186.25999999998</c:v>
                </c:pt>
                <c:pt idx="1">
                  <c:v>62480.640000000014</c:v>
                </c:pt>
                <c:pt idx="2">
                  <c:v>48498.619999999995</c:v>
                </c:pt>
                <c:pt idx="3">
                  <c:v>81223.89999999998</c:v>
                </c:pt>
                <c:pt idx="4">
                  <c:v>54761.43</c:v>
                </c:pt>
                <c:pt idx="5">
                  <c:v>59869.790000000008</c:v>
                </c:pt>
              </c:numCache>
            </c:numRef>
          </c:val>
          <c:extLst>
            <c:ext xmlns:c16="http://schemas.microsoft.com/office/drawing/2014/chart" uri="{C3380CC4-5D6E-409C-BE32-E72D297353CC}">
              <c16:uniqueId val="{00000001-1728-412E-BD8E-DC3A01E19006}"/>
            </c:ext>
          </c:extLst>
        </c:ser>
        <c:dLbls>
          <c:showLegendKey val="0"/>
          <c:showVal val="0"/>
          <c:showCatName val="0"/>
          <c:showSerName val="0"/>
          <c:showPercent val="0"/>
          <c:showBubbleSize val="0"/>
        </c:dLbls>
        <c:gapWidth val="158"/>
        <c:overlap val="8"/>
        <c:axId val="475729023"/>
        <c:axId val="475728063"/>
      </c:barChart>
      <c:lineChart>
        <c:grouping val="standard"/>
        <c:varyColors val="0"/>
        <c:ser>
          <c:idx val="2"/>
          <c:order val="2"/>
          <c:tx>
            <c:strRef>
              <c:f>'Pivot (State)'!$D$3</c:f>
              <c:strCache>
                <c:ptCount val="1"/>
                <c:pt idx="0">
                  <c:v>Average of Profit Margin (%)</c:v>
                </c:pt>
              </c:strCache>
            </c:strRef>
          </c:tx>
          <c:spPr>
            <a:ln w="28575" cap="rnd">
              <a:solidFill>
                <a:schemeClr val="accent3"/>
              </a:solidFill>
              <a:round/>
            </a:ln>
            <a:effectLst/>
          </c:spPr>
          <c:marker>
            <c:symbol val="none"/>
          </c:marker>
          <c:cat>
            <c:strRef>
              <c:f>'Pivot (State)'!$A$4:$A$10</c:f>
              <c:strCache>
                <c:ptCount val="6"/>
                <c:pt idx="0">
                  <c:v>California</c:v>
                </c:pt>
                <c:pt idx="1">
                  <c:v>Florida</c:v>
                </c:pt>
                <c:pt idx="2">
                  <c:v>Illinois</c:v>
                </c:pt>
                <c:pt idx="3">
                  <c:v>New York</c:v>
                </c:pt>
                <c:pt idx="4">
                  <c:v>Pennsylvania</c:v>
                </c:pt>
                <c:pt idx="5">
                  <c:v>Texas</c:v>
                </c:pt>
              </c:strCache>
            </c:strRef>
          </c:cat>
          <c:val>
            <c:numRef>
              <c:f>'Pivot (State)'!$D$4:$D$10</c:f>
              <c:numCache>
                <c:formatCode>_(* #,##0.00_);_(* \(#,##0.00\);_(* "-"??_);_(@_)</c:formatCode>
                <c:ptCount val="6"/>
                <c:pt idx="0">
                  <c:v>45.045301632287355</c:v>
                </c:pt>
                <c:pt idx="1">
                  <c:v>47.363039502938065</c:v>
                </c:pt>
                <c:pt idx="2">
                  <c:v>42.461490247455785</c:v>
                </c:pt>
                <c:pt idx="3">
                  <c:v>44.649548737804949</c:v>
                </c:pt>
                <c:pt idx="4">
                  <c:v>44.211072298138696</c:v>
                </c:pt>
                <c:pt idx="5">
                  <c:v>45.7328389235795</c:v>
                </c:pt>
              </c:numCache>
            </c:numRef>
          </c:val>
          <c:smooth val="0"/>
          <c:extLst>
            <c:ext xmlns:c16="http://schemas.microsoft.com/office/drawing/2014/chart" uri="{C3380CC4-5D6E-409C-BE32-E72D297353CC}">
              <c16:uniqueId val="{00000002-1728-412E-BD8E-DC3A01E19006}"/>
            </c:ext>
          </c:extLst>
        </c:ser>
        <c:dLbls>
          <c:showLegendKey val="0"/>
          <c:showVal val="0"/>
          <c:showCatName val="0"/>
          <c:showSerName val="0"/>
          <c:showPercent val="0"/>
          <c:showBubbleSize val="0"/>
        </c:dLbls>
        <c:marker val="1"/>
        <c:smooth val="0"/>
        <c:axId val="469411439"/>
        <c:axId val="469410479"/>
      </c:lineChart>
      <c:catAx>
        <c:axId val="475729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FI"/>
          </a:p>
        </c:txPr>
        <c:crossAx val="475728063"/>
        <c:crosses val="autoZero"/>
        <c:auto val="1"/>
        <c:lblAlgn val="ctr"/>
        <c:lblOffset val="100"/>
        <c:noMultiLvlLbl val="0"/>
      </c:catAx>
      <c:valAx>
        <c:axId val="475728063"/>
        <c:scaling>
          <c:orientation val="minMax"/>
        </c:scaling>
        <c:delete val="0"/>
        <c:axPos val="l"/>
        <c:numFmt formatCode="_-[$$-409]* #\ ##0.00_ ;_-[$$-409]* \-#\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FI"/>
          </a:p>
        </c:txPr>
        <c:crossAx val="475729023"/>
        <c:crosses val="autoZero"/>
        <c:crossBetween val="between"/>
      </c:valAx>
      <c:valAx>
        <c:axId val="469410479"/>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FI"/>
          </a:p>
        </c:txPr>
        <c:crossAx val="469411439"/>
        <c:crosses val="max"/>
        <c:crossBetween val="between"/>
      </c:valAx>
      <c:catAx>
        <c:axId val="469411439"/>
        <c:scaling>
          <c:orientation val="minMax"/>
        </c:scaling>
        <c:delete val="1"/>
        <c:axPos val="t"/>
        <c:numFmt formatCode="General" sourceLinked="1"/>
        <c:majorTickMark val="out"/>
        <c:minorTickMark val="none"/>
        <c:tickLblPos val="nextTo"/>
        <c:crossAx val="469410479"/>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800" b="1"/>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4763</xdr:colOff>
      <xdr:row>22</xdr:row>
      <xdr:rowOff>148900</xdr:rowOff>
    </xdr:from>
    <xdr:to>
      <xdr:col>19</xdr:col>
      <xdr:colOff>566737</xdr:colOff>
      <xdr:row>27</xdr:row>
      <xdr:rowOff>85724</xdr:rowOff>
    </xdr:to>
    <xdr:sp macro="" textlink="">
      <xdr:nvSpPr>
        <xdr:cNvPr id="3167" name="Rectangle: Rounded Corners 3166">
          <a:extLst>
            <a:ext uri="{FF2B5EF4-FFF2-40B4-BE49-F238E27FC236}">
              <a16:creationId xmlns:a16="http://schemas.microsoft.com/office/drawing/2014/main" id="{A156C9AA-2267-DDC9-1404-2327BD0D9092}"/>
            </a:ext>
          </a:extLst>
        </xdr:cNvPr>
        <xdr:cNvSpPr/>
      </xdr:nvSpPr>
      <xdr:spPr>
        <a:xfrm flipV="1">
          <a:off x="10691813" y="3711250"/>
          <a:ext cx="1819274" cy="746449"/>
        </a:xfrm>
        <a:prstGeom prst="roundRect">
          <a:avLst>
            <a:gd name="adj" fmla="val 0"/>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23</xdr:col>
      <xdr:colOff>147046</xdr:colOff>
      <xdr:row>36</xdr:row>
      <xdr:rowOff>63181</xdr:rowOff>
    </xdr:from>
    <xdr:to>
      <xdr:col>25</xdr:col>
      <xdr:colOff>626585</xdr:colOff>
      <xdr:row>44</xdr:row>
      <xdr:rowOff>0</xdr:rowOff>
    </xdr:to>
    <xdr:sp macro="" textlink="">
      <xdr:nvSpPr>
        <xdr:cNvPr id="3158" name="Rectangle: Rounded Corners 3157">
          <a:extLst>
            <a:ext uri="{FF2B5EF4-FFF2-40B4-BE49-F238E27FC236}">
              <a16:creationId xmlns:a16="http://schemas.microsoft.com/office/drawing/2014/main" id="{46FE545F-4B65-3DF5-287A-19EE795AE510}"/>
            </a:ext>
          </a:extLst>
        </xdr:cNvPr>
        <xdr:cNvSpPr/>
      </xdr:nvSpPr>
      <xdr:spPr>
        <a:xfrm flipV="1">
          <a:off x="14605996" y="5892481"/>
          <a:ext cx="1736839" cy="1232219"/>
        </a:xfrm>
        <a:prstGeom prst="roundRect">
          <a:avLst>
            <a:gd name="adj" fmla="val 0"/>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23</xdr:col>
      <xdr:colOff>147046</xdr:colOff>
      <xdr:row>0</xdr:row>
      <xdr:rowOff>0</xdr:rowOff>
    </xdr:from>
    <xdr:to>
      <xdr:col>25</xdr:col>
      <xdr:colOff>626585</xdr:colOff>
      <xdr:row>7</xdr:row>
      <xdr:rowOff>98744</xdr:rowOff>
    </xdr:to>
    <xdr:sp macro="" textlink="">
      <xdr:nvSpPr>
        <xdr:cNvPr id="29" name="Rectangle: Rounded Corners 28">
          <a:extLst>
            <a:ext uri="{FF2B5EF4-FFF2-40B4-BE49-F238E27FC236}">
              <a16:creationId xmlns:a16="http://schemas.microsoft.com/office/drawing/2014/main" id="{3120B758-5609-B344-3E1F-DD417DE4498D}"/>
            </a:ext>
          </a:extLst>
        </xdr:cNvPr>
        <xdr:cNvSpPr/>
      </xdr:nvSpPr>
      <xdr:spPr>
        <a:xfrm flipV="1">
          <a:off x="14685660" y="0"/>
          <a:ext cx="1743766" cy="1250403"/>
        </a:xfrm>
        <a:prstGeom prst="roundRect">
          <a:avLst>
            <a:gd name="adj" fmla="val 0"/>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23</xdr:col>
      <xdr:colOff>144638</xdr:colOff>
      <xdr:row>3</xdr:row>
      <xdr:rowOff>58469</xdr:rowOff>
    </xdr:from>
    <xdr:to>
      <xdr:col>25</xdr:col>
      <xdr:colOff>628307</xdr:colOff>
      <xdr:row>42</xdr:row>
      <xdr:rowOff>0</xdr:rowOff>
    </xdr:to>
    <xdr:sp macro="" textlink="">
      <xdr:nvSpPr>
        <xdr:cNvPr id="18" name="Rectangle: Rounded Corners 17">
          <a:extLst>
            <a:ext uri="{FF2B5EF4-FFF2-40B4-BE49-F238E27FC236}">
              <a16:creationId xmlns:a16="http://schemas.microsoft.com/office/drawing/2014/main" id="{8C4DB500-D077-30A7-564E-D95A0E38A137}"/>
            </a:ext>
          </a:extLst>
        </xdr:cNvPr>
        <xdr:cNvSpPr/>
      </xdr:nvSpPr>
      <xdr:spPr>
        <a:xfrm flipV="1">
          <a:off x="14603588" y="544244"/>
          <a:ext cx="1740969" cy="6256606"/>
        </a:xfrm>
        <a:prstGeom prst="roundRect">
          <a:avLst>
            <a:gd name="adj" fmla="val 0"/>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0</xdr:col>
      <xdr:colOff>1</xdr:colOff>
      <xdr:row>24</xdr:row>
      <xdr:rowOff>1</xdr:rowOff>
    </xdr:from>
    <xdr:to>
      <xdr:col>9</xdr:col>
      <xdr:colOff>0</xdr:colOff>
      <xdr:row>43</xdr:row>
      <xdr:rowOff>0</xdr:rowOff>
    </xdr:to>
    <xdr:graphicFrame macro="">
      <xdr:nvGraphicFramePr>
        <xdr:cNvPr id="2" name="Chart 1">
          <a:extLst>
            <a:ext uri="{FF2B5EF4-FFF2-40B4-BE49-F238E27FC236}">
              <a16:creationId xmlns:a16="http://schemas.microsoft.com/office/drawing/2014/main" id="{8D700282-1812-4B39-8E72-6B6660C15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xdr:colOff>
      <xdr:row>0</xdr:row>
      <xdr:rowOff>0</xdr:rowOff>
    </xdr:from>
    <xdr:to>
      <xdr:col>9</xdr:col>
      <xdr:colOff>0</xdr:colOff>
      <xdr:row>3</xdr:row>
      <xdr:rowOff>0</xdr:rowOff>
    </xdr:to>
    <xdr:grpSp>
      <xdr:nvGrpSpPr>
        <xdr:cNvPr id="17" name="Group 16">
          <a:extLst>
            <a:ext uri="{FF2B5EF4-FFF2-40B4-BE49-F238E27FC236}">
              <a16:creationId xmlns:a16="http://schemas.microsoft.com/office/drawing/2014/main" id="{15A624E7-9375-4602-902C-536D0357C24A}"/>
            </a:ext>
          </a:extLst>
        </xdr:cNvPr>
        <xdr:cNvGrpSpPr/>
      </xdr:nvGrpSpPr>
      <xdr:grpSpPr>
        <a:xfrm>
          <a:off x="1" y="0"/>
          <a:ext cx="5657849" cy="485775"/>
          <a:chOff x="4916261" y="0"/>
          <a:chExt cx="5374820" cy="627287"/>
        </a:xfrm>
      </xdr:grpSpPr>
      <xdr:sp macro="" textlink="">
        <xdr:nvSpPr>
          <xdr:cNvPr id="3" name="Rectangle 2">
            <a:extLst>
              <a:ext uri="{FF2B5EF4-FFF2-40B4-BE49-F238E27FC236}">
                <a16:creationId xmlns:a16="http://schemas.microsoft.com/office/drawing/2014/main" id="{BEC7A8A1-FFD1-318C-F763-5460F985A60A}"/>
              </a:ext>
            </a:extLst>
          </xdr:cNvPr>
          <xdr:cNvSpPr/>
        </xdr:nvSpPr>
        <xdr:spPr>
          <a:xfrm>
            <a:off x="4916261" y="0"/>
            <a:ext cx="5374820" cy="627287"/>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FI" sz="1100"/>
          </a:p>
        </xdr:txBody>
      </xdr:sp>
      <xdr:sp macro="" textlink="">
        <xdr:nvSpPr>
          <xdr:cNvPr id="4" name="TextBox 3">
            <a:extLst>
              <a:ext uri="{FF2B5EF4-FFF2-40B4-BE49-F238E27FC236}">
                <a16:creationId xmlns:a16="http://schemas.microsoft.com/office/drawing/2014/main" id="{6F924626-5BE0-7563-E93D-C577AD8B9BE8}"/>
              </a:ext>
            </a:extLst>
          </xdr:cNvPr>
          <xdr:cNvSpPr txBox="1"/>
        </xdr:nvSpPr>
        <xdr:spPr>
          <a:xfrm>
            <a:off x="4932656" y="27213"/>
            <a:ext cx="4820942"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3200">
                <a:solidFill>
                  <a:schemeClr val="accent6">
                    <a:lumMod val="20000"/>
                    <a:lumOff val="80000"/>
                  </a:schemeClr>
                </a:solidFill>
                <a:latin typeface="Bahnschrift SemiBold SemiConden" panose="020B0502040204020203" pitchFamily="34" charset="0"/>
              </a:rPr>
              <a:t>Sales Analysis Dashboard</a:t>
            </a:r>
            <a:endParaRPr lang="en-FI" sz="3200">
              <a:solidFill>
                <a:schemeClr val="accent6">
                  <a:lumMod val="20000"/>
                  <a:lumOff val="80000"/>
                </a:schemeClr>
              </a:solidFill>
              <a:latin typeface="Bahnschrift SemiBold SemiConden" panose="020B0502040204020203" pitchFamily="34" charset="0"/>
            </a:endParaRPr>
          </a:p>
        </xdr:txBody>
      </xdr:sp>
    </xdr:grpSp>
    <xdr:clientData/>
  </xdr:twoCellAnchor>
  <xdr:twoCellAnchor>
    <xdr:from>
      <xdr:col>23</xdr:col>
      <xdr:colOff>180975</xdr:colOff>
      <xdr:row>25</xdr:row>
      <xdr:rowOff>39041</xdr:rowOff>
    </xdr:from>
    <xdr:to>
      <xdr:col>25</xdr:col>
      <xdr:colOff>590551</xdr:colOff>
      <xdr:row>27</xdr:row>
      <xdr:rowOff>64819</xdr:rowOff>
    </xdr:to>
    <xdr:sp macro="" textlink="category_count">
      <xdr:nvSpPr>
        <xdr:cNvPr id="38" name="TextBox 37">
          <a:extLst>
            <a:ext uri="{FF2B5EF4-FFF2-40B4-BE49-F238E27FC236}">
              <a16:creationId xmlns:a16="http://schemas.microsoft.com/office/drawing/2014/main" id="{0899DBDB-7AEA-C572-9AE6-2D1BE9E58191}"/>
            </a:ext>
          </a:extLst>
        </xdr:cNvPr>
        <xdr:cNvSpPr txBox="1"/>
      </xdr:nvSpPr>
      <xdr:spPr>
        <a:xfrm>
          <a:off x="14639925" y="4087166"/>
          <a:ext cx="1666876" cy="349628"/>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16703BB4-BB58-4A8D-AF14-1C0FEC597281}" type="TxLink">
            <a:rPr lang="en-US" sz="2000">
              <a:solidFill>
                <a:schemeClr val="accent6">
                  <a:lumMod val="20000"/>
                  <a:lumOff val="80000"/>
                </a:schemeClr>
              </a:solidFill>
              <a:latin typeface="Bahnschrift SemiBold SemiConden" panose="020B0502040204020203" pitchFamily="34" charset="0"/>
              <a:ea typeface="+mn-ea"/>
              <a:cs typeface="+mn-cs"/>
            </a:rPr>
            <a:pPr marL="0" indent="0" algn="ctr"/>
            <a:t> 5 </a:t>
          </a:fld>
          <a:endParaRPr lang="en-FI" sz="2000">
            <a:solidFill>
              <a:schemeClr val="accent6">
                <a:lumMod val="20000"/>
                <a:lumOff val="80000"/>
              </a:schemeClr>
            </a:solidFill>
            <a:latin typeface="Bahnschrift SemiBold SemiConden" panose="020B0502040204020203" pitchFamily="34" charset="0"/>
            <a:ea typeface="+mn-ea"/>
            <a:cs typeface="+mn-cs"/>
          </a:endParaRPr>
        </a:p>
      </xdr:txBody>
    </xdr:sp>
    <xdr:clientData/>
  </xdr:twoCellAnchor>
  <xdr:twoCellAnchor>
    <xdr:from>
      <xdr:col>23</xdr:col>
      <xdr:colOff>190499</xdr:colOff>
      <xdr:row>35</xdr:row>
      <xdr:rowOff>4998</xdr:rowOff>
    </xdr:from>
    <xdr:to>
      <xdr:col>25</xdr:col>
      <xdr:colOff>600074</xdr:colOff>
      <xdr:row>37</xdr:row>
      <xdr:rowOff>30359</xdr:rowOff>
    </xdr:to>
    <xdr:sp macro="" textlink="seller_count">
      <xdr:nvSpPr>
        <xdr:cNvPr id="43" name="TextBox 42">
          <a:extLst>
            <a:ext uri="{FF2B5EF4-FFF2-40B4-BE49-F238E27FC236}">
              <a16:creationId xmlns:a16="http://schemas.microsoft.com/office/drawing/2014/main" id="{8B67EFE4-BBEE-2A34-8F01-0EFAE1968221}"/>
            </a:ext>
          </a:extLst>
        </xdr:cNvPr>
        <xdr:cNvSpPr txBox="1"/>
      </xdr:nvSpPr>
      <xdr:spPr>
        <a:xfrm>
          <a:off x="14649449" y="5672373"/>
          <a:ext cx="1666875" cy="349211"/>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BE55E7E0-7744-48EC-8A01-125542D39283}" type="TxLink">
            <a:rPr lang="en-US" sz="2000">
              <a:solidFill>
                <a:schemeClr val="accent6">
                  <a:lumMod val="20000"/>
                  <a:lumOff val="80000"/>
                </a:schemeClr>
              </a:solidFill>
              <a:latin typeface="Bahnschrift SemiBold SemiConden" panose="020B0502040204020203" pitchFamily="34" charset="0"/>
              <a:ea typeface="+mn-ea"/>
              <a:cs typeface="+mn-cs"/>
            </a:rPr>
            <a:pPr marL="0" indent="0" algn="ctr"/>
            <a:t> 7 </a:t>
          </a:fld>
          <a:endParaRPr lang="en-FI" sz="2000">
            <a:solidFill>
              <a:schemeClr val="accent6">
                <a:lumMod val="20000"/>
                <a:lumOff val="80000"/>
              </a:schemeClr>
            </a:solidFill>
            <a:latin typeface="Bahnschrift SemiBold SemiConden" panose="020B0502040204020203" pitchFamily="34" charset="0"/>
            <a:ea typeface="+mn-ea"/>
            <a:cs typeface="+mn-cs"/>
          </a:endParaRPr>
        </a:p>
      </xdr:txBody>
    </xdr:sp>
    <xdr:clientData/>
  </xdr:twoCellAnchor>
  <xdr:twoCellAnchor>
    <xdr:from>
      <xdr:col>23</xdr:col>
      <xdr:colOff>180975</xdr:colOff>
      <xdr:row>39</xdr:row>
      <xdr:rowOff>65200</xdr:rowOff>
    </xdr:from>
    <xdr:to>
      <xdr:col>25</xdr:col>
      <xdr:colOff>590551</xdr:colOff>
      <xdr:row>41</xdr:row>
      <xdr:rowOff>92640</xdr:rowOff>
    </xdr:to>
    <xdr:sp macro="" textlink="state_count">
      <xdr:nvSpPr>
        <xdr:cNvPr id="48" name="TextBox 47">
          <a:extLst>
            <a:ext uri="{FF2B5EF4-FFF2-40B4-BE49-F238E27FC236}">
              <a16:creationId xmlns:a16="http://schemas.microsoft.com/office/drawing/2014/main" id="{A9629909-91C5-187A-4543-C01E3C1BE484}"/>
            </a:ext>
          </a:extLst>
        </xdr:cNvPr>
        <xdr:cNvSpPr txBox="1"/>
      </xdr:nvSpPr>
      <xdr:spPr>
        <a:xfrm>
          <a:off x="14639925" y="6380275"/>
          <a:ext cx="1666876" cy="351290"/>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F95A4B54-1039-4803-9006-231F0C92D137}" type="TxLink">
            <a:rPr lang="en-US" sz="2000">
              <a:solidFill>
                <a:schemeClr val="accent6">
                  <a:lumMod val="20000"/>
                  <a:lumOff val="80000"/>
                </a:schemeClr>
              </a:solidFill>
              <a:latin typeface="Bahnschrift SemiBold SemiConden" panose="020B0502040204020203" pitchFamily="34" charset="0"/>
              <a:ea typeface="+mn-ea"/>
              <a:cs typeface="+mn-cs"/>
            </a:rPr>
            <a:pPr marL="0" indent="0" algn="ctr"/>
            <a:t> 6 </a:t>
          </a:fld>
          <a:endParaRPr lang="en-FI" sz="2000">
            <a:solidFill>
              <a:schemeClr val="accent6">
                <a:lumMod val="20000"/>
                <a:lumOff val="80000"/>
              </a:schemeClr>
            </a:solidFill>
            <a:latin typeface="Bahnschrift SemiBold SemiConden" panose="020B0502040204020203" pitchFamily="34" charset="0"/>
            <a:ea typeface="+mn-ea"/>
            <a:cs typeface="+mn-cs"/>
          </a:endParaRPr>
        </a:p>
      </xdr:txBody>
    </xdr:sp>
    <xdr:clientData/>
  </xdr:twoCellAnchor>
  <xdr:twoCellAnchor>
    <xdr:from>
      <xdr:col>23</xdr:col>
      <xdr:colOff>190499</xdr:colOff>
      <xdr:row>30</xdr:row>
      <xdr:rowOff>20592</xdr:rowOff>
    </xdr:from>
    <xdr:to>
      <xdr:col>25</xdr:col>
      <xdr:colOff>581025</xdr:colOff>
      <xdr:row>32</xdr:row>
      <xdr:rowOff>39778</xdr:rowOff>
    </xdr:to>
    <xdr:sp macro="" textlink="product_count">
      <xdr:nvSpPr>
        <xdr:cNvPr id="53" name="TextBox 52">
          <a:extLst>
            <a:ext uri="{FF2B5EF4-FFF2-40B4-BE49-F238E27FC236}">
              <a16:creationId xmlns:a16="http://schemas.microsoft.com/office/drawing/2014/main" id="{88E9F845-7CE8-3C2F-24DE-7856E291CA4F}"/>
            </a:ext>
          </a:extLst>
        </xdr:cNvPr>
        <xdr:cNvSpPr txBox="1"/>
      </xdr:nvSpPr>
      <xdr:spPr>
        <a:xfrm>
          <a:off x="14649449" y="4878342"/>
          <a:ext cx="1647826" cy="343036"/>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97E2AEC7-4BCC-4506-B554-CFA694C5B9D7}" type="TxLink">
            <a:rPr lang="en-US" sz="2000">
              <a:solidFill>
                <a:schemeClr val="accent6">
                  <a:lumMod val="20000"/>
                  <a:lumOff val="80000"/>
                </a:schemeClr>
              </a:solidFill>
              <a:latin typeface="Bahnschrift SemiBold SemiConden" panose="020B0502040204020203" pitchFamily="34" charset="0"/>
              <a:ea typeface="+mn-ea"/>
              <a:cs typeface="+mn-cs"/>
            </a:rPr>
            <a:pPr marL="0" indent="0" algn="ctr"/>
            <a:t> 20 </a:t>
          </a:fld>
          <a:endParaRPr lang="en-FI" sz="2000">
            <a:solidFill>
              <a:schemeClr val="accent6">
                <a:lumMod val="20000"/>
                <a:lumOff val="80000"/>
              </a:schemeClr>
            </a:solidFill>
            <a:latin typeface="Bahnschrift SemiBold SemiConden" panose="020B0502040204020203" pitchFamily="34" charset="0"/>
            <a:ea typeface="+mn-ea"/>
            <a:cs typeface="+mn-cs"/>
          </a:endParaRPr>
        </a:p>
      </xdr:txBody>
    </xdr:sp>
    <xdr:clientData/>
  </xdr:twoCellAnchor>
  <xdr:twoCellAnchor>
    <xdr:from>
      <xdr:col>9</xdr:col>
      <xdr:colOff>376646</xdr:colOff>
      <xdr:row>2</xdr:row>
      <xdr:rowOff>27665</xdr:rowOff>
    </xdr:from>
    <xdr:to>
      <xdr:col>11</xdr:col>
      <xdr:colOff>584464</xdr:colOff>
      <xdr:row>4</xdr:row>
      <xdr:rowOff>95815</xdr:rowOff>
    </xdr:to>
    <xdr:sp macro="" textlink="">
      <xdr:nvSpPr>
        <xdr:cNvPr id="3078" name="TextBox 3077">
          <a:extLst>
            <a:ext uri="{FF2B5EF4-FFF2-40B4-BE49-F238E27FC236}">
              <a16:creationId xmlns:a16="http://schemas.microsoft.com/office/drawing/2014/main" id="{96CF2595-B191-DD4B-E0B8-4C5A889BE6D5}"/>
            </a:ext>
          </a:extLst>
        </xdr:cNvPr>
        <xdr:cNvSpPr txBox="1"/>
      </xdr:nvSpPr>
      <xdr:spPr>
        <a:xfrm>
          <a:off x="6034496" y="351515"/>
          <a:ext cx="1465118" cy="392000"/>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r>
            <a:rPr lang="en-US" sz="2000">
              <a:solidFill>
                <a:schemeClr val="accent6">
                  <a:lumMod val="20000"/>
                  <a:lumOff val="80000"/>
                </a:schemeClr>
              </a:solidFill>
              <a:latin typeface="Bahnschrift SemiBold SemiConden" panose="020B0502040204020203" pitchFamily="34" charset="0"/>
              <a:ea typeface="+mn-ea"/>
              <a:cs typeface="+mn-cs"/>
            </a:rPr>
            <a:t>Total Profit</a:t>
          </a:r>
        </a:p>
      </xdr:txBody>
    </xdr:sp>
    <xdr:clientData/>
  </xdr:twoCellAnchor>
  <xdr:twoCellAnchor>
    <xdr:from>
      <xdr:col>23</xdr:col>
      <xdr:colOff>171450</xdr:colOff>
      <xdr:row>15</xdr:row>
      <xdr:rowOff>42190</xdr:rowOff>
    </xdr:from>
    <xdr:to>
      <xdr:col>25</xdr:col>
      <xdr:colOff>590550</xdr:colOff>
      <xdr:row>17</xdr:row>
      <xdr:rowOff>68388</xdr:rowOff>
    </xdr:to>
    <xdr:sp macro="" textlink="Total_Profit">
      <xdr:nvSpPr>
        <xdr:cNvPr id="3079" name="TextBox 3078">
          <a:extLst>
            <a:ext uri="{FF2B5EF4-FFF2-40B4-BE49-F238E27FC236}">
              <a16:creationId xmlns:a16="http://schemas.microsoft.com/office/drawing/2014/main" id="{879F9EA9-79EC-3835-C7E7-93D3F36EF57D}"/>
            </a:ext>
          </a:extLst>
        </xdr:cNvPr>
        <xdr:cNvSpPr txBox="1"/>
      </xdr:nvSpPr>
      <xdr:spPr>
        <a:xfrm>
          <a:off x="14630400" y="2471065"/>
          <a:ext cx="1676400" cy="350048"/>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1347A205-A578-40F4-8A37-14F4F68C15C0}" type="TxLink">
            <a:rPr lang="en-US" sz="2000">
              <a:solidFill>
                <a:schemeClr val="accent6">
                  <a:lumMod val="20000"/>
                  <a:lumOff val="80000"/>
                </a:schemeClr>
              </a:solidFill>
              <a:latin typeface="Bahnschrift SemiBold SemiConden" panose="020B0502040204020203" pitchFamily="34" charset="0"/>
              <a:ea typeface="+mn-ea"/>
              <a:cs typeface="+mn-cs"/>
            </a:rPr>
            <a:pPr marL="0" indent="0" algn="ctr"/>
            <a:t> $448 020,64 </a:t>
          </a:fld>
          <a:endParaRPr lang="en-FI" sz="2000">
            <a:solidFill>
              <a:schemeClr val="accent6">
                <a:lumMod val="20000"/>
                <a:lumOff val="80000"/>
              </a:schemeClr>
            </a:solidFill>
            <a:latin typeface="Bahnschrift SemiBold SemiConden" panose="020B0502040204020203" pitchFamily="34" charset="0"/>
            <a:ea typeface="+mn-ea"/>
            <a:cs typeface="+mn-cs"/>
          </a:endParaRPr>
        </a:p>
      </xdr:txBody>
    </xdr:sp>
    <xdr:clientData/>
  </xdr:twoCellAnchor>
  <xdr:twoCellAnchor>
    <xdr:from>
      <xdr:col>23</xdr:col>
      <xdr:colOff>190500</xdr:colOff>
      <xdr:row>20</xdr:row>
      <xdr:rowOff>27974</xdr:rowOff>
    </xdr:from>
    <xdr:to>
      <xdr:col>25</xdr:col>
      <xdr:colOff>571500</xdr:colOff>
      <xdr:row>22</xdr:row>
      <xdr:rowOff>52088</xdr:rowOff>
    </xdr:to>
    <xdr:sp macro="" textlink="max_profit">
      <xdr:nvSpPr>
        <xdr:cNvPr id="3099" name="TextBox 3098">
          <a:extLst>
            <a:ext uri="{FF2B5EF4-FFF2-40B4-BE49-F238E27FC236}">
              <a16:creationId xmlns:a16="http://schemas.microsoft.com/office/drawing/2014/main" id="{A1BD6D66-4B52-2AA2-8E23-C3CD0AD9EB52}"/>
            </a:ext>
          </a:extLst>
        </xdr:cNvPr>
        <xdr:cNvSpPr txBox="1"/>
      </xdr:nvSpPr>
      <xdr:spPr>
        <a:xfrm>
          <a:off x="14649450" y="3266474"/>
          <a:ext cx="1638300" cy="347964"/>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A1DDF5D0-15DB-4142-8C4A-6E2BBAE8A1F3}" type="TxLink">
            <a:rPr lang="en-US" sz="2000">
              <a:solidFill>
                <a:schemeClr val="accent6">
                  <a:lumMod val="20000"/>
                  <a:lumOff val="80000"/>
                </a:schemeClr>
              </a:solidFill>
              <a:latin typeface="Bahnschrift SemiBold SemiConden" panose="020B0502040204020203" pitchFamily="34" charset="0"/>
              <a:ea typeface="+mn-ea"/>
              <a:cs typeface="+mn-cs"/>
            </a:rPr>
            <a:pPr marL="0" indent="0" algn="ctr"/>
            <a:t> $7 188,04 </a:t>
          </a:fld>
          <a:endParaRPr lang="en-FI" sz="2000">
            <a:solidFill>
              <a:schemeClr val="accent6">
                <a:lumMod val="20000"/>
                <a:lumOff val="80000"/>
              </a:schemeClr>
            </a:solidFill>
            <a:latin typeface="Bahnschrift SemiBold SemiConden" panose="020B0502040204020203" pitchFamily="34" charset="0"/>
            <a:ea typeface="+mn-ea"/>
            <a:cs typeface="+mn-cs"/>
          </a:endParaRPr>
        </a:p>
      </xdr:txBody>
    </xdr:sp>
    <xdr:clientData/>
  </xdr:twoCellAnchor>
  <xdr:twoCellAnchor editAs="oneCell">
    <xdr:from>
      <xdr:col>17</xdr:col>
      <xdr:colOff>0</xdr:colOff>
      <xdr:row>0</xdr:row>
      <xdr:rowOff>0</xdr:rowOff>
    </xdr:from>
    <xdr:to>
      <xdr:col>19</xdr:col>
      <xdr:colOff>581025</xdr:colOff>
      <xdr:row>7</xdr:row>
      <xdr:rowOff>152399</xdr:rowOff>
    </xdr:to>
    <mc:AlternateContent xmlns:mc="http://schemas.openxmlformats.org/markup-compatibility/2006">
      <mc:Choice xmlns:a14="http://schemas.microsoft.com/office/drawing/2010/main" Requires="a14">
        <xdr:graphicFrame macro="">
          <xdr:nvGraphicFramePr>
            <xdr:cNvPr id="3100" name="Month">
              <a:extLst>
                <a:ext uri="{FF2B5EF4-FFF2-40B4-BE49-F238E27FC236}">
                  <a16:creationId xmlns:a16="http://schemas.microsoft.com/office/drawing/2014/main" id="{1C1EB898-39B6-4C22-91EA-4440F7A2031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0687050" y="0"/>
              <a:ext cx="1838325" cy="1285874"/>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15</xdr:row>
      <xdr:rowOff>85725</xdr:rowOff>
    </xdr:from>
    <xdr:to>
      <xdr:col>19</xdr:col>
      <xdr:colOff>571500</xdr:colOff>
      <xdr:row>24</xdr:row>
      <xdr:rowOff>0</xdr:rowOff>
    </xdr:to>
    <mc:AlternateContent xmlns:mc="http://schemas.openxmlformats.org/markup-compatibility/2006">
      <mc:Choice xmlns:a14="http://schemas.microsoft.com/office/drawing/2010/main" Requires="a14">
        <xdr:graphicFrame macro="">
          <xdr:nvGraphicFramePr>
            <xdr:cNvPr id="3101" name="Seller">
              <a:extLst>
                <a:ext uri="{FF2B5EF4-FFF2-40B4-BE49-F238E27FC236}">
                  <a16:creationId xmlns:a16="http://schemas.microsoft.com/office/drawing/2014/main" id="{46864512-60E5-4D37-84CF-AF21EAE79039}"/>
                </a:ext>
              </a:extLst>
            </xdr:cNvPr>
            <xdr:cNvGraphicFramePr/>
          </xdr:nvGraphicFramePr>
          <xdr:xfrm>
            <a:off x="0" y="0"/>
            <a:ext cx="0" cy="0"/>
          </xdr:xfrm>
          <a:graphic>
            <a:graphicData uri="http://schemas.microsoft.com/office/drawing/2010/slicer">
              <sle:slicer xmlns:sle="http://schemas.microsoft.com/office/drawing/2010/slicer" name="Seller"/>
            </a:graphicData>
          </a:graphic>
        </xdr:graphicFrame>
      </mc:Choice>
      <mc:Fallback>
        <xdr:sp macro="" textlink="">
          <xdr:nvSpPr>
            <xdr:cNvPr id="0" name=""/>
            <xdr:cNvSpPr>
              <a:spLocks noTextEdit="1"/>
            </xdr:cNvSpPr>
          </xdr:nvSpPr>
          <xdr:spPr>
            <a:xfrm>
              <a:off x="10687050" y="2514600"/>
              <a:ext cx="1828800" cy="1371600"/>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142875</xdr:colOff>
      <xdr:row>0</xdr:row>
      <xdr:rowOff>45687</xdr:rowOff>
    </xdr:from>
    <xdr:to>
      <xdr:col>25</xdr:col>
      <xdr:colOff>178343</xdr:colOff>
      <xdr:row>2</xdr:row>
      <xdr:rowOff>110107</xdr:rowOff>
    </xdr:to>
    <xdr:sp macro="" textlink="">
      <xdr:nvSpPr>
        <xdr:cNvPr id="27" name="TextBox 26">
          <a:extLst>
            <a:ext uri="{FF2B5EF4-FFF2-40B4-BE49-F238E27FC236}">
              <a16:creationId xmlns:a16="http://schemas.microsoft.com/office/drawing/2014/main" id="{1B54855F-FCBF-8DB8-DBB6-BE3D0301C8A9}"/>
            </a:ext>
          </a:extLst>
        </xdr:cNvPr>
        <xdr:cNvSpPr txBox="1"/>
      </xdr:nvSpPr>
      <xdr:spPr>
        <a:xfrm>
          <a:off x="14601825" y="45687"/>
          <a:ext cx="1292768" cy="388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a:solidFill>
                <a:schemeClr val="accent6">
                  <a:lumMod val="20000"/>
                  <a:lumOff val="80000"/>
                </a:schemeClr>
              </a:solidFill>
              <a:latin typeface="Bahnschrift SemiBold SemiConden" panose="020B0502040204020203" pitchFamily="34" charset="0"/>
            </a:rPr>
            <a:t>Stats</a:t>
          </a:r>
          <a:endParaRPr lang="en-FI" sz="1400">
            <a:solidFill>
              <a:schemeClr val="accent6">
                <a:lumMod val="20000"/>
                <a:lumOff val="80000"/>
              </a:schemeClr>
            </a:solidFill>
            <a:latin typeface="Bahnschrift SemiBold SemiConden" panose="020B0502040204020203" pitchFamily="34" charset="0"/>
          </a:endParaRPr>
        </a:p>
      </xdr:txBody>
    </xdr:sp>
    <xdr:clientData/>
  </xdr:twoCellAnchor>
  <xdr:twoCellAnchor>
    <xdr:from>
      <xdr:col>23</xdr:col>
      <xdr:colOff>144638</xdr:colOff>
      <xdr:row>3</xdr:row>
      <xdr:rowOff>11938</xdr:rowOff>
    </xdr:from>
    <xdr:to>
      <xdr:col>25</xdr:col>
      <xdr:colOff>628307</xdr:colOff>
      <xdr:row>3</xdr:row>
      <xdr:rowOff>61169</xdr:rowOff>
    </xdr:to>
    <xdr:sp macro="" textlink="">
      <xdr:nvSpPr>
        <xdr:cNvPr id="19" name="Rectangle: Rounded Corners 18">
          <a:extLst>
            <a:ext uri="{FF2B5EF4-FFF2-40B4-BE49-F238E27FC236}">
              <a16:creationId xmlns:a16="http://schemas.microsoft.com/office/drawing/2014/main" id="{7AA47B04-D4C5-12B4-C936-C876F019C4BA}"/>
            </a:ext>
          </a:extLst>
        </xdr:cNvPr>
        <xdr:cNvSpPr/>
      </xdr:nvSpPr>
      <xdr:spPr>
        <a:xfrm>
          <a:off x="14603588" y="497713"/>
          <a:ext cx="1740969" cy="49231"/>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0</xdr:col>
      <xdr:colOff>0</xdr:colOff>
      <xdr:row>3</xdr:row>
      <xdr:rowOff>63192</xdr:rowOff>
    </xdr:from>
    <xdr:to>
      <xdr:col>3</xdr:col>
      <xdr:colOff>0</xdr:colOff>
      <xdr:row>11</xdr:row>
      <xdr:rowOff>0</xdr:rowOff>
    </xdr:to>
    <xdr:grpSp>
      <xdr:nvGrpSpPr>
        <xdr:cNvPr id="26" name="Group 25">
          <a:extLst>
            <a:ext uri="{FF2B5EF4-FFF2-40B4-BE49-F238E27FC236}">
              <a16:creationId xmlns:a16="http://schemas.microsoft.com/office/drawing/2014/main" id="{728CCF46-7194-2780-47C2-C92FB9142B7A}"/>
            </a:ext>
          </a:extLst>
        </xdr:cNvPr>
        <xdr:cNvGrpSpPr/>
      </xdr:nvGrpSpPr>
      <xdr:grpSpPr>
        <a:xfrm>
          <a:off x="0" y="548967"/>
          <a:ext cx="1885950" cy="1232208"/>
          <a:chOff x="5155966" y="2650671"/>
          <a:chExt cx="1765753" cy="1244452"/>
        </a:xfrm>
      </xdr:grpSpPr>
      <xdr:sp macro="" textlink="">
        <xdr:nvSpPr>
          <xdr:cNvPr id="30" name="Rectangle: Rounded Corners 29">
            <a:extLst>
              <a:ext uri="{FF2B5EF4-FFF2-40B4-BE49-F238E27FC236}">
                <a16:creationId xmlns:a16="http://schemas.microsoft.com/office/drawing/2014/main" id="{5B3E5B3D-D605-E0CA-7E91-4597E0493084}"/>
              </a:ext>
            </a:extLst>
          </xdr:cNvPr>
          <xdr:cNvSpPr/>
        </xdr:nvSpPr>
        <xdr:spPr>
          <a:xfrm flipV="1">
            <a:off x="5202686" y="2650671"/>
            <a:ext cx="1716992" cy="1243091"/>
          </a:xfrm>
          <a:prstGeom prst="roundRect">
            <a:avLst>
              <a:gd name="adj" fmla="val 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sp macro="" textlink="">
        <xdr:nvSpPr>
          <xdr:cNvPr id="31" name="TextBox 30">
            <a:extLst>
              <a:ext uri="{FF2B5EF4-FFF2-40B4-BE49-F238E27FC236}">
                <a16:creationId xmlns:a16="http://schemas.microsoft.com/office/drawing/2014/main" id="{8F8D2459-8053-B2D8-BC37-77C4655FBE17}"/>
              </a:ext>
            </a:extLst>
          </xdr:cNvPr>
          <xdr:cNvSpPr txBox="1"/>
        </xdr:nvSpPr>
        <xdr:spPr>
          <a:xfrm>
            <a:off x="5155966" y="2696761"/>
            <a:ext cx="1320592" cy="391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800">
                <a:solidFill>
                  <a:schemeClr val="accent6">
                    <a:lumMod val="20000"/>
                    <a:lumOff val="80000"/>
                  </a:schemeClr>
                </a:solidFill>
                <a:latin typeface="Bahnschrift SemiBold SemiConden" panose="020B0502040204020203" pitchFamily="34" charset="0"/>
              </a:rPr>
              <a:t>Sales</a:t>
            </a:r>
            <a:r>
              <a:rPr lang="en-US" sz="1800" baseline="0">
                <a:solidFill>
                  <a:schemeClr val="accent6">
                    <a:lumMod val="20000"/>
                    <a:lumOff val="80000"/>
                  </a:schemeClr>
                </a:solidFill>
                <a:latin typeface="Bahnschrift SemiBold SemiConden" panose="020B0502040204020203" pitchFamily="34" charset="0"/>
              </a:rPr>
              <a:t> Count</a:t>
            </a:r>
            <a:endParaRPr lang="en-FI" sz="1800">
              <a:solidFill>
                <a:schemeClr val="accent6">
                  <a:lumMod val="20000"/>
                  <a:lumOff val="80000"/>
                </a:schemeClr>
              </a:solidFill>
              <a:latin typeface="Bahnschrift SemiBold SemiConden" panose="020B0502040204020203" pitchFamily="34" charset="0"/>
            </a:endParaRPr>
          </a:p>
        </xdr:txBody>
      </xdr:sp>
      <xdr:sp macro="" textlink="">
        <xdr:nvSpPr>
          <xdr:cNvPr id="33" name="Rectangle: Rounded Corners 32">
            <a:extLst>
              <a:ext uri="{FF2B5EF4-FFF2-40B4-BE49-F238E27FC236}">
                <a16:creationId xmlns:a16="http://schemas.microsoft.com/office/drawing/2014/main" id="{4EBE0BE6-DBC8-81C2-4C00-74C3AA962AF6}"/>
              </a:ext>
            </a:extLst>
          </xdr:cNvPr>
          <xdr:cNvSpPr/>
        </xdr:nvSpPr>
        <xdr:spPr>
          <a:xfrm flipV="1">
            <a:off x="5199965" y="3199719"/>
            <a:ext cx="1721074" cy="695404"/>
          </a:xfrm>
          <a:prstGeom prst="roundRect">
            <a:avLst>
              <a:gd name="adj" fmla="val 0"/>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sp macro="" textlink="">
        <xdr:nvSpPr>
          <xdr:cNvPr id="34" name="Rectangle: Rounded Corners 33">
            <a:extLst>
              <a:ext uri="{FF2B5EF4-FFF2-40B4-BE49-F238E27FC236}">
                <a16:creationId xmlns:a16="http://schemas.microsoft.com/office/drawing/2014/main" id="{936F7266-19AA-EBC0-EAFE-DB7DC12F11E0}"/>
              </a:ext>
            </a:extLst>
          </xdr:cNvPr>
          <xdr:cNvSpPr/>
        </xdr:nvSpPr>
        <xdr:spPr>
          <a:xfrm>
            <a:off x="5200645" y="3152775"/>
            <a:ext cx="1721074" cy="49665"/>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grpSp>
    <xdr:clientData/>
  </xdr:twoCellAnchor>
  <xdr:twoCellAnchor>
    <xdr:from>
      <xdr:col>0</xdr:col>
      <xdr:colOff>224518</xdr:colOff>
      <xdr:row>7</xdr:row>
      <xdr:rowOff>137775</xdr:rowOff>
    </xdr:from>
    <xdr:to>
      <xdr:col>2</xdr:col>
      <xdr:colOff>406853</xdr:colOff>
      <xdr:row>10</xdr:row>
      <xdr:rowOff>0</xdr:rowOff>
    </xdr:to>
    <xdr:sp macro="" textlink="Sales_Count">
      <xdr:nvSpPr>
        <xdr:cNvPr id="3074" name="TextBox 3073">
          <a:extLst>
            <a:ext uri="{FF2B5EF4-FFF2-40B4-BE49-F238E27FC236}">
              <a16:creationId xmlns:a16="http://schemas.microsoft.com/office/drawing/2014/main" id="{4D908E7A-95EE-BF52-DC5A-BCF22053D2CC}"/>
            </a:ext>
          </a:extLst>
        </xdr:cNvPr>
        <xdr:cNvSpPr txBox="1"/>
      </xdr:nvSpPr>
      <xdr:spPr>
        <a:xfrm>
          <a:off x="224518" y="1280775"/>
          <a:ext cx="1445078" cy="352082"/>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95F854B3-84C0-4AEC-9AB9-7F065B0F15DB}" type="TxLink">
            <a:rPr lang="en-US" sz="2800">
              <a:solidFill>
                <a:schemeClr val="accent6">
                  <a:lumMod val="20000"/>
                  <a:lumOff val="80000"/>
                </a:schemeClr>
              </a:solidFill>
              <a:latin typeface="Bahnschrift SemiBold SemiConden" panose="020B0502040204020203" pitchFamily="34" charset="0"/>
              <a:ea typeface="+mn-ea"/>
              <a:cs typeface="+mn-cs"/>
            </a:rPr>
            <a:pPr marL="0" indent="0" algn="ctr"/>
            <a:t> 200 </a:t>
          </a:fld>
          <a:endParaRPr lang="en-FI" sz="2800">
            <a:solidFill>
              <a:schemeClr val="accent6">
                <a:lumMod val="20000"/>
                <a:lumOff val="80000"/>
              </a:schemeClr>
            </a:solidFill>
            <a:latin typeface="Bahnschrift SemiBold SemiConden" panose="020B0502040204020203" pitchFamily="34" charset="0"/>
            <a:ea typeface="+mn-ea"/>
            <a:cs typeface="+mn-cs"/>
          </a:endParaRPr>
        </a:p>
      </xdr:txBody>
    </xdr:sp>
    <xdr:clientData/>
  </xdr:twoCellAnchor>
  <xdr:twoCellAnchor>
    <xdr:from>
      <xdr:col>3</xdr:col>
      <xdr:colOff>0</xdr:colOff>
      <xdr:row>3</xdr:row>
      <xdr:rowOff>64553</xdr:rowOff>
    </xdr:from>
    <xdr:to>
      <xdr:col>6</xdr:col>
      <xdr:colOff>2721</xdr:colOff>
      <xdr:row>11</xdr:row>
      <xdr:rowOff>0</xdr:rowOff>
    </xdr:to>
    <xdr:grpSp>
      <xdr:nvGrpSpPr>
        <xdr:cNvPr id="3107" name="Group 3106">
          <a:extLst>
            <a:ext uri="{FF2B5EF4-FFF2-40B4-BE49-F238E27FC236}">
              <a16:creationId xmlns:a16="http://schemas.microsoft.com/office/drawing/2014/main" id="{8A86158C-6E10-C926-6F6A-5E29F55F1E8F}"/>
            </a:ext>
          </a:extLst>
        </xdr:cNvPr>
        <xdr:cNvGrpSpPr/>
      </xdr:nvGrpSpPr>
      <xdr:grpSpPr>
        <a:xfrm>
          <a:off x="1885950" y="550328"/>
          <a:ext cx="1888671" cy="1230847"/>
          <a:chOff x="5155966" y="2650671"/>
          <a:chExt cx="1765753" cy="1244452"/>
        </a:xfrm>
      </xdr:grpSpPr>
      <xdr:sp macro="" textlink="">
        <xdr:nvSpPr>
          <xdr:cNvPr id="3108" name="Rectangle: Rounded Corners 3107">
            <a:extLst>
              <a:ext uri="{FF2B5EF4-FFF2-40B4-BE49-F238E27FC236}">
                <a16:creationId xmlns:a16="http://schemas.microsoft.com/office/drawing/2014/main" id="{45F1F439-7539-CC3F-5FF8-882D17DA172C}"/>
              </a:ext>
            </a:extLst>
          </xdr:cNvPr>
          <xdr:cNvSpPr/>
        </xdr:nvSpPr>
        <xdr:spPr>
          <a:xfrm flipV="1">
            <a:off x="5202686" y="2650671"/>
            <a:ext cx="1716992" cy="1243091"/>
          </a:xfrm>
          <a:prstGeom prst="roundRect">
            <a:avLst>
              <a:gd name="adj" fmla="val 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sp macro="" textlink="">
        <xdr:nvSpPr>
          <xdr:cNvPr id="3109" name="TextBox 3108">
            <a:extLst>
              <a:ext uri="{FF2B5EF4-FFF2-40B4-BE49-F238E27FC236}">
                <a16:creationId xmlns:a16="http://schemas.microsoft.com/office/drawing/2014/main" id="{859067CE-0346-A9A9-6B3A-81C3FC1DA316}"/>
              </a:ext>
            </a:extLst>
          </xdr:cNvPr>
          <xdr:cNvSpPr txBox="1"/>
        </xdr:nvSpPr>
        <xdr:spPr>
          <a:xfrm>
            <a:off x="5155966" y="2696761"/>
            <a:ext cx="1320592" cy="391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800">
                <a:solidFill>
                  <a:schemeClr val="accent6">
                    <a:lumMod val="20000"/>
                    <a:lumOff val="80000"/>
                  </a:schemeClr>
                </a:solidFill>
                <a:latin typeface="Bahnschrift SemiBold SemiConden" panose="020B0502040204020203" pitchFamily="34" charset="0"/>
              </a:rPr>
              <a:t>Total Sales</a:t>
            </a:r>
            <a:endParaRPr lang="en-FI" sz="1800">
              <a:solidFill>
                <a:schemeClr val="accent6">
                  <a:lumMod val="20000"/>
                  <a:lumOff val="80000"/>
                </a:schemeClr>
              </a:solidFill>
              <a:latin typeface="Bahnschrift SemiBold SemiConden" panose="020B0502040204020203" pitchFamily="34" charset="0"/>
            </a:endParaRPr>
          </a:p>
        </xdr:txBody>
      </xdr:sp>
      <xdr:sp macro="" textlink="">
        <xdr:nvSpPr>
          <xdr:cNvPr id="3110" name="Rectangle: Rounded Corners 3109">
            <a:extLst>
              <a:ext uri="{FF2B5EF4-FFF2-40B4-BE49-F238E27FC236}">
                <a16:creationId xmlns:a16="http://schemas.microsoft.com/office/drawing/2014/main" id="{680D36F0-4E46-709F-8A5F-2DE45BEBF8DE}"/>
              </a:ext>
            </a:extLst>
          </xdr:cNvPr>
          <xdr:cNvSpPr/>
        </xdr:nvSpPr>
        <xdr:spPr>
          <a:xfrm flipV="1">
            <a:off x="5199965" y="3199719"/>
            <a:ext cx="1721074" cy="695404"/>
          </a:xfrm>
          <a:prstGeom prst="roundRect">
            <a:avLst>
              <a:gd name="adj" fmla="val 0"/>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sp macro="" textlink="">
        <xdr:nvSpPr>
          <xdr:cNvPr id="3111" name="Rectangle: Rounded Corners 3110">
            <a:extLst>
              <a:ext uri="{FF2B5EF4-FFF2-40B4-BE49-F238E27FC236}">
                <a16:creationId xmlns:a16="http://schemas.microsoft.com/office/drawing/2014/main" id="{9DFAFCB4-17F9-DA3E-F5EC-5DA10303322A}"/>
              </a:ext>
            </a:extLst>
          </xdr:cNvPr>
          <xdr:cNvSpPr/>
        </xdr:nvSpPr>
        <xdr:spPr>
          <a:xfrm>
            <a:off x="5200645" y="3152775"/>
            <a:ext cx="1721074" cy="49665"/>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grpSp>
    <xdr:clientData/>
  </xdr:twoCellAnchor>
  <xdr:twoCellAnchor>
    <xdr:from>
      <xdr:col>6</xdr:col>
      <xdr:colOff>19049</xdr:colOff>
      <xdr:row>3</xdr:row>
      <xdr:rowOff>0</xdr:rowOff>
    </xdr:from>
    <xdr:to>
      <xdr:col>8</xdr:col>
      <xdr:colOff>612319</xdr:colOff>
      <xdr:row>11</xdr:row>
      <xdr:rowOff>0</xdr:rowOff>
    </xdr:to>
    <xdr:grpSp>
      <xdr:nvGrpSpPr>
        <xdr:cNvPr id="3112" name="Group 3111">
          <a:extLst>
            <a:ext uri="{FF2B5EF4-FFF2-40B4-BE49-F238E27FC236}">
              <a16:creationId xmlns:a16="http://schemas.microsoft.com/office/drawing/2014/main" id="{F4CF3A74-B1EF-A695-EAF4-C7E0BE27D1F3}"/>
            </a:ext>
          </a:extLst>
        </xdr:cNvPr>
        <xdr:cNvGrpSpPr/>
      </xdr:nvGrpSpPr>
      <xdr:grpSpPr>
        <a:xfrm>
          <a:off x="3790949" y="485775"/>
          <a:ext cx="1850570" cy="1295400"/>
          <a:chOff x="5189090" y="2586851"/>
          <a:chExt cx="1732629" cy="1308272"/>
        </a:xfrm>
      </xdr:grpSpPr>
      <xdr:sp macro="" textlink="">
        <xdr:nvSpPr>
          <xdr:cNvPr id="3113" name="Rectangle: Rounded Corners 3112">
            <a:extLst>
              <a:ext uri="{FF2B5EF4-FFF2-40B4-BE49-F238E27FC236}">
                <a16:creationId xmlns:a16="http://schemas.microsoft.com/office/drawing/2014/main" id="{FAE617EC-A311-857B-7408-252D7AB22BAC}"/>
              </a:ext>
            </a:extLst>
          </xdr:cNvPr>
          <xdr:cNvSpPr/>
        </xdr:nvSpPr>
        <xdr:spPr>
          <a:xfrm flipV="1">
            <a:off x="5202686" y="2650671"/>
            <a:ext cx="1716992" cy="1243091"/>
          </a:xfrm>
          <a:prstGeom prst="roundRect">
            <a:avLst>
              <a:gd name="adj" fmla="val 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sp macro="" textlink="">
        <xdr:nvSpPr>
          <xdr:cNvPr id="3114" name="TextBox 3113">
            <a:extLst>
              <a:ext uri="{FF2B5EF4-FFF2-40B4-BE49-F238E27FC236}">
                <a16:creationId xmlns:a16="http://schemas.microsoft.com/office/drawing/2014/main" id="{85998E06-4D35-D30B-3739-413E42111905}"/>
              </a:ext>
            </a:extLst>
          </xdr:cNvPr>
          <xdr:cNvSpPr txBox="1"/>
        </xdr:nvSpPr>
        <xdr:spPr>
          <a:xfrm>
            <a:off x="5189090" y="2586851"/>
            <a:ext cx="1730081" cy="6733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a:solidFill>
                  <a:schemeClr val="accent6">
                    <a:lumMod val="20000"/>
                    <a:lumOff val="80000"/>
                  </a:schemeClr>
                </a:solidFill>
                <a:latin typeface="Bahnschrift SemiBold SemiConden" panose="020B0502040204020203" pitchFamily="34" charset="0"/>
              </a:rPr>
              <a:t>Average Profit Margin(%)</a:t>
            </a:r>
          </a:p>
          <a:p>
            <a:pPr algn="l"/>
            <a:r>
              <a:rPr lang="en-US" sz="1400">
                <a:solidFill>
                  <a:schemeClr val="accent6">
                    <a:lumMod val="20000"/>
                    <a:lumOff val="80000"/>
                  </a:schemeClr>
                </a:solidFill>
                <a:latin typeface="Bahnschrift SemiBold SemiConden" panose="020B0502040204020203" pitchFamily="34" charset="0"/>
              </a:rPr>
              <a:t>Per Sale</a:t>
            </a:r>
            <a:endParaRPr lang="en-FI" sz="1400">
              <a:solidFill>
                <a:schemeClr val="accent6">
                  <a:lumMod val="20000"/>
                  <a:lumOff val="80000"/>
                </a:schemeClr>
              </a:solidFill>
              <a:latin typeface="Bahnschrift SemiBold SemiConden" panose="020B0502040204020203" pitchFamily="34" charset="0"/>
            </a:endParaRPr>
          </a:p>
        </xdr:txBody>
      </xdr:sp>
      <xdr:sp macro="" textlink="">
        <xdr:nvSpPr>
          <xdr:cNvPr id="3115" name="Rectangle: Rounded Corners 3114">
            <a:extLst>
              <a:ext uri="{FF2B5EF4-FFF2-40B4-BE49-F238E27FC236}">
                <a16:creationId xmlns:a16="http://schemas.microsoft.com/office/drawing/2014/main" id="{1E5CF188-08CD-2092-003F-84CB7BBCAD2E}"/>
              </a:ext>
            </a:extLst>
          </xdr:cNvPr>
          <xdr:cNvSpPr/>
        </xdr:nvSpPr>
        <xdr:spPr>
          <a:xfrm flipV="1">
            <a:off x="5199965" y="3199719"/>
            <a:ext cx="1721074" cy="695404"/>
          </a:xfrm>
          <a:prstGeom prst="roundRect">
            <a:avLst>
              <a:gd name="adj" fmla="val 0"/>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sp macro="" textlink="">
        <xdr:nvSpPr>
          <xdr:cNvPr id="3116" name="Rectangle: Rounded Corners 3115">
            <a:extLst>
              <a:ext uri="{FF2B5EF4-FFF2-40B4-BE49-F238E27FC236}">
                <a16:creationId xmlns:a16="http://schemas.microsoft.com/office/drawing/2014/main" id="{B69C5AF2-F909-EE4C-3959-1BE3FB98DE75}"/>
              </a:ext>
            </a:extLst>
          </xdr:cNvPr>
          <xdr:cNvSpPr/>
        </xdr:nvSpPr>
        <xdr:spPr>
          <a:xfrm>
            <a:off x="5200645" y="3152775"/>
            <a:ext cx="1721074" cy="49665"/>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grpSp>
    <xdr:clientData/>
  </xdr:twoCellAnchor>
  <xdr:twoCellAnchor>
    <xdr:from>
      <xdr:col>3</xdr:col>
      <xdr:colOff>77647</xdr:colOff>
      <xdr:row>8</xdr:row>
      <xdr:rowOff>0</xdr:rowOff>
    </xdr:from>
    <xdr:to>
      <xdr:col>5</xdr:col>
      <xdr:colOff>553724</xdr:colOff>
      <xdr:row>10</xdr:row>
      <xdr:rowOff>15348</xdr:rowOff>
    </xdr:to>
    <xdr:sp macro="" textlink="Total_Sales">
      <xdr:nvSpPr>
        <xdr:cNvPr id="63" name="TextBox 62">
          <a:extLst>
            <a:ext uri="{FF2B5EF4-FFF2-40B4-BE49-F238E27FC236}">
              <a16:creationId xmlns:a16="http://schemas.microsoft.com/office/drawing/2014/main" id="{28F8DBDA-6F97-9B48-93FB-B237C8AC793C}"/>
            </a:ext>
          </a:extLst>
        </xdr:cNvPr>
        <xdr:cNvSpPr txBox="1"/>
      </xdr:nvSpPr>
      <xdr:spPr>
        <a:xfrm>
          <a:off x="1963597" y="1295400"/>
          <a:ext cx="1733377" cy="339198"/>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FC6B0182-6842-44B1-A3E2-2B72EA6F18FE}" type="TxLink">
            <a:rPr lang="en-US" sz="2600">
              <a:solidFill>
                <a:schemeClr val="accent6">
                  <a:lumMod val="20000"/>
                  <a:lumOff val="80000"/>
                </a:schemeClr>
              </a:solidFill>
              <a:latin typeface="Bahnschrift SemiBold SemiConden" panose="020B0502040204020203" pitchFamily="34" charset="0"/>
              <a:ea typeface="+mn-ea"/>
              <a:cs typeface="+mn-cs"/>
            </a:rPr>
            <a:pPr marL="0" indent="0" algn="ctr"/>
            <a:t> $981 140,21 </a:t>
          </a:fld>
          <a:endParaRPr lang="en-FI" sz="2600">
            <a:solidFill>
              <a:schemeClr val="accent6">
                <a:lumMod val="20000"/>
                <a:lumOff val="80000"/>
              </a:schemeClr>
            </a:solidFill>
            <a:latin typeface="Bahnschrift SemiBold SemiConden" panose="020B0502040204020203" pitchFamily="34" charset="0"/>
            <a:ea typeface="+mn-ea"/>
            <a:cs typeface="+mn-cs"/>
          </a:endParaRPr>
        </a:p>
      </xdr:txBody>
    </xdr:sp>
    <xdr:clientData/>
  </xdr:twoCellAnchor>
  <xdr:twoCellAnchor>
    <xdr:from>
      <xdr:col>6</xdr:col>
      <xdr:colOff>86954</xdr:colOff>
      <xdr:row>8</xdr:row>
      <xdr:rowOff>0</xdr:rowOff>
    </xdr:from>
    <xdr:to>
      <xdr:col>8</xdr:col>
      <xdr:colOff>544414</xdr:colOff>
      <xdr:row>10</xdr:row>
      <xdr:rowOff>12098</xdr:rowOff>
    </xdr:to>
    <xdr:sp macro="" textlink="avg_profit_margin">
      <xdr:nvSpPr>
        <xdr:cNvPr id="3094" name="TextBox 3093">
          <a:extLst>
            <a:ext uri="{FF2B5EF4-FFF2-40B4-BE49-F238E27FC236}">
              <a16:creationId xmlns:a16="http://schemas.microsoft.com/office/drawing/2014/main" id="{81BA47F1-B2A3-920B-A6ED-7ACDBB6E51BF}"/>
            </a:ext>
          </a:extLst>
        </xdr:cNvPr>
        <xdr:cNvSpPr txBox="1"/>
      </xdr:nvSpPr>
      <xdr:spPr>
        <a:xfrm>
          <a:off x="3858854" y="1295400"/>
          <a:ext cx="1714760" cy="335948"/>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F04B3225-E890-4BB9-904B-495A596F225E}" type="TxLink">
            <a:rPr lang="en-US" sz="2600">
              <a:solidFill>
                <a:schemeClr val="accent6">
                  <a:lumMod val="20000"/>
                  <a:lumOff val="80000"/>
                </a:schemeClr>
              </a:solidFill>
              <a:latin typeface="Bahnschrift SemiBold SemiConden" panose="020B0502040204020203" pitchFamily="34" charset="0"/>
              <a:ea typeface="+mn-ea"/>
              <a:cs typeface="+mn-cs"/>
            </a:rPr>
            <a:pPr marL="0" indent="0" algn="ctr"/>
            <a:t> 44,92 </a:t>
          </a:fld>
          <a:endParaRPr lang="en-FI" sz="2600">
            <a:solidFill>
              <a:schemeClr val="accent6">
                <a:lumMod val="20000"/>
                <a:lumOff val="80000"/>
              </a:schemeClr>
            </a:solidFill>
            <a:latin typeface="Bahnschrift SemiBold SemiConden" panose="020B0502040204020203" pitchFamily="34" charset="0"/>
            <a:ea typeface="+mn-ea"/>
            <a:cs typeface="+mn-cs"/>
          </a:endParaRPr>
        </a:p>
      </xdr:txBody>
    </xdr:sp>
    <xdr:clientData/>
  </xdr:twoCellAnchor>
  <xdr:twoCellAnchor>
    <xdr:from>
      <xdr:col>23</xdr:col>
      <xdr:colOff>144981</xdr:colOff>
      <xdr:row>8</xdr:row>
      <xdr:rowOff>0</xdr:rowOff>
    </xdr:from>
    <xdr:to>
      <xdr:col>26</xdr:col>
      <xdr:colOff>0</xdr:colOff>
      <xdr:row>8</xdr:row>
      <xdr:rowOff>49231</xdr:rowOff>
    </xdr:to>
    <xdr:sp macro="" textlink="">
      <xdr:nvSpPr>
        <xdr:cNvPr id="3139" name="Rectangle: Rounded Corners 3138">
          <a:extLst>
            <a:ext uri="{FF2B5EF4-FFF2-40B4-BE49-F238E27FC236}">
              <a16:creationId xmlns:a16="http://schemas.microsoft.com/office/drawing/2014/main" id="{7DC0D43E-21DF-F326-3026-01B20141F57E}"/>
            </a:ext>
          </a:extLst>
        </xdr:cNvPr>
        <xdr:cNvSpPr/>
      </xdr:nvSpPr>
      <xdr:spPr>
        <a:xfrm>
          <a:off x="14603931" y="1295400"/>
          <a:ext cx="1740969" cy="49231"/>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23</xdr:col>
      <xdr:colOff>145324</xdr:colOff>
      <xdr:row>12</xdr:row>
      <xdr:rowOff>149987</xdr:rowOff>
    </xdr:from>
    <xdr:to>
      <xdr:col>26</xdr:col>
      <xdr:colOff>343</xdr:colOff>
      <xdr:row>13</xdr:row>
      <xdr:rowOff>37293</xdr:rowOff>
    </xdr:to>
    <xdr:sp macro="" textlink="">
      <xdr:nvSpPr>
        <xdr:cNvPr id="3140" name="Rectangle: Rounded Corners 3139">
          <a:extLst>
            <a:ext uri="{FF2B5EF4-FFF2-40B4-BE49-F238E27FC236}">
              <a16:creationId xmlns:a16="http://schemas.microsoft.com/office/drawing/2014/main" id="{17AE0BC6-7231-2AEB-AA39-896BCC09084A}"/>
            </a:ext>
          </a:extLst>
        </xdr:cNvPr>
        <xdr:cNvSpPr/>
      </xdr:nvSpPr>
      <xdr:spPr>
        <a:xfrm>
          <a:off x="14604274" y="2093087"/>
          <a:ext cx="1740969" cy="49231"/>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23</xdr:col>
      <xdr:colOff>145667</xdr:colOff>
      <xdr:row>17</xdr:row>
      <xdr:rowOff>138049</xdr:rowOff>
    </xdr:from>
    <xdr:to>
      <xdr:col>26</xdr:col>
      <xdr:colOff>686</xdr:colOff>
      <xdr:row>18</xdr:row>
      <xdr:rowOff>25355</xdr:rowOff>
    </xdr:to>
    <xdr:sp macro="" textlink="">
      <xdr:nvSpPr>
        <xdr:cNvPr id="3141" name="Rectangle: Rounded Corners 3140">
          <a:extLst>
            <a:ext uri="{FF2B5EF4-FFF2-40B4-BE49-F238E27FC236}">
              <a16:creationId xmlns:a16="http://schemas.microsoft.com/office/drawing/2014/main" id="{A46B05DA-EF2F-EA89-6284-EA33019C4D8E}"/>
            </a:ext>
          </a:extLst>
        </xdr:cNvPr>
        <xdr:cNvSpPr/>
      </xdr:nvSpPr>
      <xdr:spPr>
        <a:xfrm>
          <a:off x="14604617" y="2890774"/>
          <a:ext cx="1740969" cy="49231"/>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23</xdr:col>
      <xdr:colOff>146010</xdr:colOff>
      <xdr:row>22</xdr:row>
      <xdr:rowOff>126111</xdr:rowOff>
    </xdr:from>
    <xdr:to>
      <xdr:col>26</xdr:col>
      <xdr:colOff>1029</xdr:colOff>
      <xdr:row>23</xdr:row>
      <xdr:rowOff>13417</xdr:rowOff>
    </xdr:to>
    <xdr:sp macro="" textlink="">
      <xdr:nvSpPr>
        <xdr:cNvPr id="3142" name="Rectangle: Rounded Corners 3141">
          <a:extLst>
            <a:ext uri="{FF2B5EF4-FFF2-40B4-BE49-F238E27FC236}">
              <a16:creationId xmlns:a16="http://schemas.microsoft.com/office/drawing/2014/main" id="{67FB6078-48D6-BD38-501A-95306DA1D956}"/>
            </a:ext>
          </a:extLst>
        </xdr:cNvPr>
        <xdr:cNvSpPr/>
      </xdr:nvSpPr>
      <xdr:spPr>
        <a:xfrm>
          <a:off x="14604960" y="3688461"/>
          <a:ext cx="1740969" cy="49231"/>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23</xdr:col>
      <xdr:colOff>146353</xdr:colOff>
      <xdr:row>27</xdr:row>
      <xdr:rowOff>114173</xdr:rowOff>
    </xdr:from>
    <xdr:to>
      <xdr:col>26</xdr:col>
      <xdr:colOff>1372</xdr:colOff>
      <xdr:row>28</xdr:row>
      <xdr:rowOff>1479</xdr:rowOff>
    </xdr:to>
    <xdr:sp macro="" textlink="">
      <xdr:nvSpPr>
        <xdr:cNvPr id="3143" name="Rectangle: Rounded Corners 3142">
          <a:extLst>
            <a:ext uri="{FF2B5EF4-FFF2-40B4-BE49-F238E27FC236}">
              <a16:creationId xmlns:a16="http://schemas.microsoft.com/office/drawing/2014/main" id="{212547EF-D83E-0A4C-A8EB-7E99E2B270B7}"/>
            </a:ext>
          </a:extLst>
        </xdr:cNvPr>
        <xdr:cNvSpPr/>
      </xdr:nvSpPr>
      <xdr:spPr>
        <a:xfrm>
          <a:off x="14605303" y="4486148"/>
          <a:ext cx="1740969" cy="49231"/>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23</xdr:col>
      <xdr:colOff>146696</xdr:colOff>
      <xdr:row>32</xdr:row>
      <xdr:rowOff>102235</xdr:rowOff>
    </xdr:from>
    <xdr:to>
      <xdr:col>26</xdr:col>
      <xdr:colOff>1715</xdr:colOff>
      <xdr:row>32</xdr:row>
      <xdr:rowOff>151466</xdr:rowOff>
    </xdr:to>
    <xdr:sp macro="" textlink="">
      <xdr:nvSpPr>
        <xdr:cNvPr id="3144" name="Rectangle: Rounded Corners 3143">
          <a:extLst>
            <a:ext uri="{FF2B5EF4-FFF2-40B4-BE49-F238E27FC236}">
              <a16:creationId xmlns:a16="http://schemas.microsoft.com/office/drawing/2014/main" id="{84465EC2-4BDE-A671-6574-218EFA76EDA4}"/>
            </a:ext>
          </a:extLst>
        </xdr:cNvPr>
        <xdr:cNvSpPr/>
      </xdr:nvSpPr>
      <xdr:spPr>
        <a:xfrm>
          <a:off x="14605646" y="5283835"/>
          <a:ext cx="1740969" cy="49231"/>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23</xdr:col>
      <xdr:colOff>147039</xdr:colOff>
      <xdr:row>37</xdr:row>
      <xdr:rowOff>90297</xdr:rowOff>
    </xdr:from>
    <xdr:to>
      <xdr:col>26</xdr:col>
      <xdr:colOff>2058</xdr:colOff>
      <xdr:row>37</xdr:row>
      <xdr:rowOff>139528</xdr:rowOff>
    </xdr:to>
    <xdr:sp macro="" textlink="">
      <xdr:nvSpPr>
        <xdr:cNvPr id="3145" name="Rectangle: Rounded Corners 3144">
          <a:extLst>
            <a:ext uri="{FF2B5EF4-FFF2-40B4-BE49-F238E27FC236}">
              <a16:creationId xmlns:a16="http://schemas.microsoft.com/office/drawing/2014/main" id="{B4FB980A-5AD8-63D2-54FD-BEDC37940BC6}"/>
            </a:ext>
          </a:extLst>
        </xdr:cNvPr>
        <xdr:cNvSpPr/>
      </xdr:nvSpPr>
      <xdr:spPr>
        <a:xfrm>
          <a:off x="14605989" y="6081522"/>
          <a:ext cx="1740969" cy="49231"/>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23</xdr:col>
      <xdr:colOff>142875</xdr:colOff>
      <xdr:row>3</xdr:row>
      <xdr:rowOff>0</xdr:rowOff>
    </xdr:from>
    <xdr:to>
      <xdr:col>25</xdr:col>
      <xdr:colOff>178343</xdr:colOff>
      <xdr:row>5</xdr:row>
      <xdr:rowOff>64420</xdr:rowOff>
    </xdr:to>
    <xdr:sp macro="" textlink="">
      <xdr:nvSpPr>
        <xdr:cNvPr id="3148" name="TextBox 3147">
          <a:extLst>
            <a:ext uri="{FF2B5EF4-FFF2-40B4-BE49-F238E27FC236}">
              <a16:creationId xmlns:a16="http://schemas.microsoft.com/office/drawing/2014/main" id="{4BB4C503-03CC-CA49-D4E2-CFA22E70194E}"/>
            </a:ext>
          </a:extLst>
        </xdr:cNvPr>
        <xdr:cNvSpPr txBox="1"/>
      </xdr:nvSpPr>
      <xdr:spPr>
        <a:xfrm>
          <a:off x="14601825" y="485775"/>
          <a:ext cx="1292768" cy="388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a:solidFill>
                <a:schemeClr val="accent6">
                  <a:lumMod val="20000"/>
                  <a:lumOff val="80000"/>
                </a:schemeClr>
              </a:solidFill>
              <a:latin typeface="Bahnschrift SemiBold SemiConden" panose="020B0502040204020203" pitchFamily="34" charset="0"/>
            </a:rPr>
            <a:t>Average Sales</a:t>
          </a:r>
          <a:endParaRPr lang="en-FI" sz="1400">
            <a:solidFill>
              <a:schemeClr val="accent6">
                <a:lumMod val="20000"/>
                <a:lumOff val="80000"/>
              </a:schemeClr>
            </a:solidFill>
            <a:latin typeface="Bahnschrift SemiBold SemiConden" panose="020B0502040204020203" pitchFamily="34" charset="0"/>
          </a:endParaRPr>
        </a:p>
      </xdr:txBody>
    </xdr:sp>
    <xdr:clientData/>
  </xdr:twoCellAnchor>
  <xdr:twoCellAnchor>
    <xdr:from>
      <xdr:col>23</xdr:col>
      <xdr:colOff>142875</xdr:colOff>
      <xdr:row>8</xdr:row>
      <xdr:rowOff>0</xdr:rowOff>
    </xdr:from>
    <xdr:to>
      <xdr:col>25</xdr:col>
      <xdr:colOff>178343</xdr:colOff>
      <xdr:row>10</xdr:row>
      <xdr:rowOff>64420</xdr:rowOff>
    </xdr:to>
    <xdr:sp macro="" textlink="">
      <xdr:nvSpPr>
        <xdr:cNvPr id="3150" name="TextBox 3149">
          <a:extLst>
            <a:ext uri="{FF2B5EF4-FFF2-40B4-BE49-F238E27FC236}">
              <a16:creationId xmlns:a16="http://schemas.microsoft.com/office/drawing/2014/main" id="{B610D2A2-2E0F-5155-9D4D-0A3788F562FB}"/>
            </a:ext>
          </a:extLst>
        </xdr:cNvPr>
        <xdr:cNvSpPr txBox="1"/>
      </xdr:nvSpPr>
      <xdr:spPr>
        <a:xfrm>
          <a:off x="14601825" y="1295400"/>
          <a:ext cx="1292768" cy="388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a:solidFill>
                <a:schemeClr val="accent6">
                  <a:lumMod val="20000"/>
                  <a:lumOff val="80000"/>
                </a:schemeClr>
              </a:solidFill>
              <a:latin typeface="Bahnschrift SemiBold SemiConden" panose="020B0502040204020203" pitchFamily="34" charset="0"/>
            </a:rPr>
            <a:t>Max</a:t>
          </a:r>
          <a:r>
            <a:rPr lang="en-US" sz="1400" baseline="0">
              <a:solidFill>
                <a:schemeClr val="accent6">
                  <a:lumMod val="20000"/>
                  <a:lumOff val="80000"/>
                </a:schemeClr>
              </a:solidFill>
              <a:latin typeface="Bahnschrift SemiBold SemiConden" panose="020B0502040204020203" pitchFamily="34" charset="0"/>
            </a:rPr>
            <a:t> Sales</a:t>
          </a:r>
          <a:endParaRPr lang="en-FI" sz="1400">
            <a:solidFill>
              <a:schemeClr val="accent6">
                <a:lumMod val="20000"/>
                <a:lumOff val="80000"/>
              </a:schemeClr>
            </a:solidFill>
            <a:latin typeface="Bahnschrift SemiBold SemiConden" panose="020B0502040204020203" pitchFamily="34" charset="0"/>
          </a:endParaRPr>
        </a:p>
      </xdr:txBody>
    </xdr:sp>
    <xdr:clientData/>
  </xdr:twoCellAnchor>
  <xdr:twoCellAnchor>
    <xdr:from>
      <xdr:col>23</xdr:col>
      <xdr:colOff>142875</xdr:colOff>
      <xdr:row>13</xdr:row>
      <xdr:rowOff>0</xdr:rowOff>
    </xdr:from>
    <xdr:to>
      <xdr:col>25</xdr:col>
      <xdr:colOff>178343</xdr:colOff>
      <xdr:row>15</xdr:row>
      <xdr:rowOff>64420</xdr:rowOff>
    </xdr:to>
    <xdr:sp macro="" textlink="">
      <xdr:nvSpPr>
        <xdr:cNvPr id="3151" name="TextBox 3150">
          <a:extLst>
            <a:ext uri="{FF2B5EF4-FFF2-40B4-BE49-F238E27FC236}">
              <a16:creationId xmlns:a16="http://schemas.microsoft.com/office/drawing/2014/main" id="{5BE9BC1B-04D4-9A7D-9F43-C7D1FE3EAF1E}"/>
            </a:ext>
          </a:extLst>
        </xdr:cNvPr>
        <xdr:cNvSpPr txBox="1"/>
      </xdr:nvSpPr>
      <xdr:spPr>
        <a:xfrm>
          <a:off x="14601825" y="2105025"/>
          <a:ext cx="1292768" cy="388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a:solidFill>
                <a:schemeClr val="accent6">
                  <a:lumMod val="20000"/>
                  <a:lumOff val="80000"/>
                </a:schemeClr>
              </a:solidFill>
              <a:latin typeface="Bahnschrift SemiBold SemiConden" panose="020B0502040204020203" pitchFamily="34" charset="0"/>
            </a:rPr>
            <a:t>Total Profit</a:t>
          </a:r>
          <a:endParaRPr lang="en-FI" sz="1400">
            <a:solidFill>
              <a:schemeClr val="accent6">
                <a:lumMod val="20000"/>
                <a:lumOff val="80000"/>
              </a:schemeClr>
            </a:solidFill>
            <a:latin typeface="Bahnschrift SemiBold SemiConden" panose="020B0502040204020203" pitchFamily="34" charset="0"/>
          </a:endParaRPr>
        </a:p>
      </xdr:txBody>
    </xdr:sp>
    <xdr:clientData/>
  </xdr:twoCellAnchor>
  <xdr:twoCellAnchor>
    <xdr:from>
      <xdr:col>23</xdr:col>
      <xdr:colOff>142875</xdr:colOff>
      <xdr:row>18</xdr:row>
      <xdr:rowOff>0</xdr:rowOff>
    </xdr:from>
    <xdr:to>
      <xdr:col>25</xdr:col>
      <xdr:colOff>178343</xdr:colOff>
      <xdr:row>20</xdr:row>
      <xdr:rowOff>64420</xdr:rowOff>
    </xdr:to>
    <xdr:sp macro="" textlink="">
      <xdr:nvSpPr>
        <xdr:cNvPr id="3152" name="TextBox 3151">
          <a:extLst>
            <a:ext uri="{FF2B5EF4-FFF2-40B4-BE49-F238E27FC236}">
              <a16:creationId xmlns:a16="http://schemas.microsoft.com/office/drawing/2014/main" id="{5F93C3C0-7238-B848-BEFE-BC970ABBC5E0}"/>
            </a:ext>
          </a:extLst>
        </xdr:cNvPr>
        <xdr:cNvSpPr txBox="1"/>
      </xdr:nvSpPr>
      <xdr:spPr>
        <a:xfrm>
          <a:off x="14601825" y="2914650"/>
          <a:ext cx="1292768" cy="388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a:solidFill>
                <a:schemeClr val="accent6">
                  <a:lumMod val="20000"/>
                  <a:lumOff val="80000"/>
                </a:schemeClr>
              </a:solidFill>
              <a:latin typeface="Bahnschrift SemiBold SemiConden" panose="020B0502040204020203" pitchFamily="34" charset="0"/>
            </a:rPr>
            <a:t>Max Profit</a:t>
          </a:r>
          <a:endParaRPr lang="en-FI" sz="1400">
            <a:solidFill>
              <a:schemeClr val="accent6">
                <a:lumMod val="20000"/>
                <a:lumOff val="80000"/>
              </a:schemeClr>
            </a:solidFill>
            <a:latin typeface="Bahnschrift SemiBold SemiConden" panose="020B0502040204020203" pitchFamily="34" charset="0"/>
          </a:endParaRPr>
        </a:p>
      </xdr:txBody>
    </xdr:sp>
    <xdr:clientData/>
  </xdr:twoCellAnchor>
  <xdr:twoCellAnchor>
    <xdr:from>
      <xdr:col>23</xdr:col>
      <xdr:colOff>142875</xdr:colOff>
      <xdr:row>22</xdr:row>
      <xdr:rowOff>116555</xdr:rowOff>
    </xdr:from>
    <xdr:to>
      <xdr:col>25</xdr:col>
      <xdr:colOff>178343</xdr:colOff>
      <xdr:row>25</xdr:row>
      <xdr:rowOff>19050</xdr:rowOff>
    </xdr:to>
    <xdr:sp macro="" textlink="">
      <xdr:nvSpPr>
        <xdr:cNvPr id="3153" name="TextBox 3152">
          <a:extLst>
            <a:ext uri="{FF2B5EF4-FFF2-40B4-BE49-F238E27FC236}">
              <a16:creationId xmlns:a16="http://schemas.microsoft.com/office/drawing/2014/main" id="{7693D9E4-37AC-5F6C-87DD-DEDD4D4CD044}"/>
            </a:ext>
          </a:extLst>
        </xdr:cNvPr>
        <xdr:cNvSpPr txBox="1"/>
      </xdr:nvSpPr>
      <xdr:spPr>
        <a:xfrm>
          <a:off x="14601825" y="3678905"/>
          <a:ext cx="1292768" cy="388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a:solidFill>
                <a:schemeClr val="accent6">
                  <a:lumMod val="20000"/>
                  <a:lumOff val="80000"/>
                </a:schemeClr>
              </a:solidFill>
              <a:latin typeface="Bahnschrift SemiBold SemiConden" panose="020B0502040204020203" pitchFamily="34" charset="0"/>
            </a:rPr>
            <a:t>Category</a:t>
          </a:r>
          <a:endParaRPr lang="en-FI" sz="1400">
            <a:solidFill>
              <a:schemeClr val="accent6">
                <a:lumMod val="20000"/>
                <a:lumOff val="80000"/>
              </a:schemeClr>
            </a:solidFill>
            <a:latin typeface="Bahnschrift SemiBold SemiConden" panose="020B0502040204020203" pitchFamily="34" charset="0"/>
          </a:endParaRPr>
        </a:p>
      </xdr:txBody>
    </xdr:sp>
    <xdr:clientData/>
  </xdr:twoCellAnchor>
  <xdr:twoCellAnchor>
    <xdr:from>
      <xdr:col>23</xdr:col>
      <xdr:colOff>142875</xdr:colOff>
      <xdr:row>27</xdr:row>
      <xdr:rowOff>133350</xdr:rowOff>
    </xdr:from>
    <xdr:to>
      <xdr:col>25</xdr:col>
      <xdr:colOff>178343</xdr:colOff>
      <xdr:row>30</xdr:row>
      <xdr:rowOff>35845</xdr:rowOff>
    </xdr:to>
    <xdr:sp macro="" textlink="">
      <xdr:nvSpPr>
        <xdr:cNvPr id="3154" name="TextBox 3153">
          <a:extLst>
            <a:ext uri="{FF2B5EF4-FFF2-40B4-BE49-F238E27FC236}">
              <a16:creationId xmlns:a16="http://schemas.microsoft.com/office/drawing/2014/main" id="{0114B0BD-1C32-9D83-1B75-AEA4DA58674A}"/>
            </a:ext>
          </a:extLst>
        </xdr:cNvPr>
        <xdr:cNvSpPr txBox="1"/>
      </xdr:nvSpPr>
      <xdr:spPr>
        <a:xfrm>
          <a:off x="14601825" y="4505325"/>
          <a:ext cx="1292768" cy="388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a:solidFill>
                <a:schemeClr val="accent6">
                  <a:lumMod val="20000"/>
                  <a:lumOff val="80000"/>
                </a:schemeClr>
              </a:solidFill>
              <a:latin typeface="Bahnschrift SemiBold SemiConden" panose="020B0502040204020203" pitchFamily="34" charset="0"/>
            </a:rPr>
            <a:t>Product</a:t>
          </a:r>
          <a:endParaRPr lang="en-FI" sz="1400">
            <a:solidFill>
              <a:schemeClr val="accent6">
                <a:lumMod val="20000"/>
                <a:lumOff val="80000"/>
              </a:schemeClr>
            </a:solidFill>
            <a:latin typeface="Bahnschrift SemiBold SemiConden" panose="020B0502040204020203" pitchFamily="34" charset="0"/>
          </a:endParaRPr>
        </a:p>
      </xdr:txBody>
    </xdr:sp>
    <xdr:clientData/>
  </xdr:twoCellAnchor>
  <xdr:twoCellAnchor>
    <xdr:from>
      <xdr:col>23</xdr:col>
      <xdr:colOff>142875</xdr:colOff>
      <xdr:row>32</xdr:row>
      <xdr:rowOff>107030</xdr:rowOff>
    </xdr:from>
    <xdr:to>
      <xdr:col>25</xdr:col>
      <xdr:colOff>178343</xdr:colOff>
      <xdr:row>35</xdr:row>
      <xdr:rowOff>9525</xdr:rowOff>
    </xdr:to>
    <xdr:sp macro="" textlink="">
      <xdr:nvSpPr>
        <xdr:cNvPr id="3155" name="TextBox 3154">
          <a:extLst>
            <a:ext uri="{FF2B5EF4-FFF2-40B4-BE49-F238E27FC236}">
              <a16:creationId xmlns:a16="http://schemas.microsoft.com/office/drawing/2014/main" id="{06C1D3DB-BD42-1A07-51C1-55EE5791BA63}"/>
            </a:ext>
          </a:extLst>
        </xdr:cNvPr>
        <xdr:cNvSpPr txBox="1"/>
      </xdr:nvSpPr>
      <xdr:spPr>
        <a:xfrm>
          <a:off x="14601825" y="5288630"/>
          <a:ext cx="1292768" cy="388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a:solidFill>
                <a:schemeClr val="accent6">
                  <a:lumMod val="20000"/>
                  <a:lumOff val="80000"/>
                </a:schemeClr>
              </a:solidFill>
              <a:latin typeface="Bahnschrift SemiBold SemiConden" panose="020B0502040204020203" pitchFamily="34" charset="0"/>
            </a:rPr>
            <a:t>Seller</a:t>
          </a:r>
          <a:endParaRPr lang="en-FI" sz="1400">
            <a:solidFill>
              <a:schemeClr val="accent6">
                <a:lumMod val="20000"/>
                <a:lumOff val="80000"/>
              </a:schemeClr>
            </a:solidFill>
            <a:latin typeface="Bahnschrift SemiBold SemiConden" panose="020B0502040204020203" pitchFamily="34" charset="0"/>
          </a:endParaRPr>
        </a:p>
      </xdr:txBody>
    </xdr:sp>
    <xdr:clientData/>
  </xdr:twoCellAnchor>
  <xdr:twoCellAnchor>
    <xdr:from>
      <xdr:col>23</xdr:col>
      <xdr:colOff>142875</xdr:colOff>
      <xdr:row>37</xdr:row>
      <xdr:rowOff>87980</xdr:rowOff>
    </xdr:from>
    <xdr:to>
      <xdr:col>25</xdr:col>
      <xdr:colOff>178343</xdr:colOff>
      <xdr:row>39</xdr:row>
      <xdr:rowOff>152400</xdr:rowOff>
    </xdr:to>
    <xdr:sp macro="" textlink="">
      <xdr:nvSpPr>
        <xdr:cNvPr id="3156" name="TextBox 3155">
          <a:extLst>
            <a:ext uri="{FF2B5EF4-FFF2-40B4-BE49-F238E27FC236}">
              <a16:creationId xmlns:a16="http://schemas.microsoft.com/office/drawing/2014/main" id="{72248C25-DF1C-ADF4-B854-142D58E4C902}"/>
            </a:ext>
          </a:extLst>
        </xdr:cNvPr>
        <xdr:cNvSpPr txBox="1"/>
      </xdr:nvSpPr>
      <xdr:spPr>
        <a:xfrm>
          <a:off x="14601825" y="6079205"/>
          <a:ext cx="1292768" cy="3882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lang="en-US" sz="1400">
              <a:solidFill>
                <a:schemeClr val="accent6">
                  <a:lumMod val="20000"/>
                  <a:lumOff val="80000"/>
                </a:schemeClr>
              </a:solidFill>
              <a:latin typeface="Bahnschrift SemiBold SemiConden" panose="020B0502040204020203" pitchFamily="34" charset="0"/>
            </a:rPr>
            <a:t>State</a:t>
          </a:r>
          <a:endParaRPr lang="en-FI" sz="1400">
            <a:solidFill>
              <a:schemeClr val="accent6">
                <a:lumMod val="20000"/>
                <a:lumOff val="80000"/>
              </a:schemeClr>
            </a:solidFill>
            <a:latin typeface="Bahnschrift SemiBold SemiConden" panose="020B0502040204020203" pitchFamily="34" charset="0"/>
          </a:endParaRPr>
        </a:p>
      </xdr:txBody>
    </xdr:sp>
    <xdr:clientData/>
  </xdr:twoCellAnchor>
  <xdr:twoCellAnchor>
    <xdr:from>
      <xdr:col>23</xdr:col>
      <xdr:colOff>180975</xdr:colOff>
      <xdr:row>10</xdr:row>
      <xdr:rowOff>61068</xdr:rowOff>
    </xdr:from>
    <xdr:to>
      <xdr:col>25</xdr:col>
      <xdr:colOff>590550</xdr:colOff>
      <xdr:row>12</xdr:row>
      <xdr:rowOff>79766</xdr:rowOff>
    </xdr:to>
    <xdr:sp macro="" textlink="max_sales">
      <xdr:nvSpPr>
        <xdr:cNvPr id="3084" name="TextBox 3083">
          <a:extLst>
            <a:ext uri="{FF2B5EF4-FFF2-40B4-BE49-F238E27FC236}">
              <a16:creationId xmlns:a16="http://schemas.microsoft.com/office/drawing/2014/main" id="{10DDF619-F686-3335-103F-8BD251420F66}"/>
            </a:ext>
          </a:extLst>
        </xdr:cNvPr>
        <xdr:cNvSpPr txBox="1"/>
      </xdr:nvSpPr>
      <xdr:spPr>
        <a:xfrm>
          <a:off x="14639925" y="1680318"/>
          <a:ext cx="1666875" cy="342548"/>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86B3EACE-D6BB-41A1-9C18-35EFC76B9984}" type="TxLink">
            <a:rPr lang="en-US" sz="2000">
              <a:solidFill>
                <a:schemeClr val="accent6">
                  <a:lumMod val="20000"/>
                  <a:lumOff val="80000"/>
                </a:schemeClr>
              </a:solidFill>
              <a:latin typeface="Bahnschrift SemiBold SemiConden" panose="020B0502040204020203" pitchFamily="34" charset="0"/>
              <a:ea typeface="+mn-ea"/>
              <a:cs typeface="+mn-cs"/>
            </a:rPr>
            <a:pPr marL="0" indent="0" algn="ctr"/>
            <a:t> $9 995,59 </a:t>
          </a:fld>
          <a:endParaRPr lang="en-FI" sz="2000">
            <a:solidFill>
              <a:schemeClr val="accent6">
                <a:lumMod val="20000"/>
                <a:lumOff val="80000"/>
              </a:schemeClr>
            </a:solidFill>
            <a:latin typeface="Bahnschrift SemiBold SemiConden" panose="020B0502040204020203" pitchFamily="34" charset="0"/>
            <a:ea typeface="+mn-ea"/>
            <a:cs typeface="+mn-cs"/>
          </a:endParaRPr>
        </a:p>
      </xdr:txBody>
    </xdr:sp>
    <xdr:clientData/>
  </xdr:twoCellAnchor>
  <xdr:twoCellAnchor>
    <xdr:from>
      <xdr:col>23</xdr:col>
      <xdr:colOff>180975</xdr:colOff>
      <xdr:row>5</xdr:row>
      <xdr:rowOff>77136</xdr:rowOff>
    </xdr:from>
    <xdr:to>
      <xdr:col>25</xdr:col>
      <xdr:colOff>581025</xdr:colOff>
      <xdr:row>7</xdr:row>
      <xdr:rowOff>93315</xdr:rowOff>
    </xdr:to>
    <xdr:sp macro="" textlink="avg_sales">
      <xdr:nvSpPr>
        <xdr:cNvPr id="3089" name="TextBox 3088">
          <a:extLst>
            <a:ext uri="{FF2B5EF4-FFF2-40B4-BE49-F238E27FC236}">
              <a16:creationId xmlns:a16="http://schemas.microsoft.com/office/drawing/2014/main" id="{677885E8-D926-0B74-62F1-EA6C37A1BCC2}"/>
            </a:ext>
          </a:extLst>
        </xdr:cNvPr>
        <xdr:cNvSpPr txBox="1"/>
      </xdr:nvSpPr>
      <xdr:spPr>
        <a:xfrm>
          <a:off x="14639925" y="886761"/>
          <a:ext cx="1657350" cy="340029"/>
        </a:xfrm>
        <a:prstGeom prst="rect">
          <a:avLst/>
        </a:prstGeom>
        <a:noFill/>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marL="0" indent="0" algn="ctr"/>
          <a:fld id="{67836F89-6B91-4F07-ADBF-907415ECF73C}" type="TxLink">
            <a:rPr lang="en-US" sz="2000">
              <a:solidFill>
                <a:schemeClr val="accent6">
                  <a:lumMod val="20000"/>
                  <a:lumOff val="80000"/>
                </a:schemeClr>
              </a:solidFill>
              <a:latin typeface="Bahnschrift SemiBold SemiConden" panose="020B0502040204020203" pitchFamily="34" charset="0"/>
              <a:ea typeface="+mn-ea"/>
              <a:cs typeface="+mn-cs"/>
            </a:rPr>
            <a:pPr marL="0" indent="0" algn="ctr"/>
            <a:t> $4 905,70 </a:t>
          </a:fld>
          <a:endParaRPr lang="en-FI" sz="2000">
            <a:solidFill>
              <a:schemeClr val="accent6">
                <a:lumMod val="20000"/>
                <a:lumOff val="80000"/>
              </a:schemeClr>
            </a:solidFill>
            <a:latin typeface="Bahnschrift SemiBold SemiConden" panose="020B0502040204020203" pitchFamily="34" charset="0"/>
            <a:ea typeface="+mn-ea"/>
            <a:cs typeface="+mn-cs"/>
          </a:endParaRPr>
        </a:p>
      </xdr:txBody>
    </xdr:sp>
    <xdr:clientData/>
  </xdr:twoCellAnchor>
  <xdr:twoCellAnchor>
    <xdr:from>
      <xdr:col>23</xdr:col>
      <xdr:colOff>147039</xdr:colOff>
      <xdr:row>41</xdr:row>
      <xdr:rowOff>141269</xdr:rowOff>
    </xdr:from>
    <xdr:to>
      <xdr:col>26</xdr:col>
      <xdr:colOff>2058</xdr:colOff>
      <xdr:row>42</xdr:row>
      <xdr:rowOff>28575</xdr:rowOff>
    </xdr:to>
    <xdr:sp macro="" textlink="">
      <xdr:nvSpPr>
        <xdr:cNvPr id="3159" name="Rectangle: Rounded Corners 3158">
          <a:extLst>
            <a:ext uri="{FF2B5EF4-FFF2-40B4-BE49-F238E27FC236}">
              <a16:creationId xmlns:a16="http://schemas.microsoft.com/office/drawing/2014/main" id="{C891794F-B84E-774B-2A71-365E91E10C4B}"/>
            </a:ext>
          </a:extLst>
        </xdr:cNvPr>
        <xdr:cNvSpPr/>
      </xdr:nvSpPr>
      <xdr:spPr>
        <a:xfrm>
          <a:off x="14605989" y="6780194"/>
          <a:ext cx="1740969" cy="49231"/>
        </a:xfrm>
        <a:prstGeom prst="roundRect">
          <a:avLst>
            <a:gd name="adj" fmla="val 0"/>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editAs="oneCell">
    <xdr:from>
      <xdr:col>20</xdr:col>
      <xdr:colOff>0</xdr:colOff>
      <xdr:row>0</xdr:row>
      <xdr:rowOff>0</xdr:rowOff>
    </xdr:from>
    <xdr:to>
      <xdr:col>23</xdr:col>
      <xdr:colOff>0</xdr:colOff>
      <xdr:row>7</xdr:row>
      <xdr:rowOff>152400</xdr:rowOff>
    </xdr:to>
    <mc:AlternateContent xmlns:mc="http://schemas.openxmlformats.org/markup-compatibility/2006">
      <mc:Choice xmlns:a14="http://schemas.microsoft.com/office/drawing/2010/main" Requires="a14">
        <xdr:graphicFrame macro="">
          <xdr:nvGraphicFramePr>
            <xdr:cNvPr id="3162" name="Category">
              <a:extLst>
                <a:ext uri="{FF2B5EF4-FFF2-40B4-BE49-F238E27FC236}">
                  <a16:creationId xmlns:a16="http://schemas.microsoft.com/office/drawing/2014/main" id="{D114AD43-8549-4BCE-967A-EB915073087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573000" y="0"/>
              <a:ext cx="1885950" cy="1285875"/>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xdr:colOff>
      <xdr:row>8</xdr:row>
      <xdr:rowOff>47625</xdr:rowOff>
    </xdr:from>
    <xdr:to>
      <xdr:col>23</xdr:col>
      <xdr:colOff>1</xdr:colOff>
      <xdr:row>27</xdr:row>
      <xdr:rowOff>95249</xdr:rowOff>
    </xdr:to>
    <mc:AlternateContent xmlns:mc="http://schemas.openxmlformats.org/markup-compatibility/2006">
      <mc:Choice xmlns:a14="http://schemas.microsoft.com/office/drawing/2010/main" Requires="a14">
        <xdr:graphicFrame macro="">
          <xdr:nvGraphicFramePr>
            <xdr:cNvPr id="3163" name="Product">
              <a:extLst>
                <a:ext uri="{FF2B5EF4-FFF2-40B4-BE49-F238E27FC236}">
                  <a16:creationId xmlns:a16="http://schemas.microsoft.com/office/drawing/2014/main" id="{45E3DEAA-B52F-44C0-B0DB-1516BE83A1B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573001" y="1343025"/>
              <a:ext cx="1885950" cy="3124199"/>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8</xdr:row>
      <xdr:rowOff>47626</xdr:rowOff>
    </xdr:from>
    <xdr:to>
      <xdr:col>19</xdr:col>
      <xdr:colOff>581025</xdr:colOff>
      <xdr:row>15</xdr:row>
      <xdr:rowOff>19051</xdr:rowOff>
    </xdr:to>
    <mc:AlternateContent xmlns:mc="http://schemas.openxmlformats.org/markup-compatibility/2006">
      <mc:Choice xmlns:a14="http://schemas.microsoft.com/office/drawing/2010/main" Requires="a14">
        <xdr:graphicFrame macro="">
          <xdr:nvGraphicFramePr>
            <xdr:cNvPr id="3164" name="State">
              <a:extLst>
                <a:ext uri="{FF2B5EF4-FFF2-40B4-BE49-F238E27FC236}">
                  <a16:creationId xmlns:a16="http://schemas.microsoft.com/office/drawing/2014/main" id="{82019138-5974-4536-9F3D-5FB4A33669C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0687050" y="1343026"/>
              <a:ext cx="1838325" cy="1104900"/>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53445</xdr:colOff>
      <xdr:row>0</xdr:row>
      <xdr:rowOff>0</xdr:rowOff>
    </xdr:from>
    <xdr:to>
      <xdr:col>23</xdr:col>
      <xdr:colOff>99164</xdr:colOff>
      <xdr:row>43</xdr:row>
      <xdr:rowOff>152399</xdr:rowOff>
    </xdr:to>
    <xdr:sp macro="" textlink="">
      <xdr:nvSpPr>
        <xdr:cNvPr id="3165" name="Rectangle: Rounded Corners 3164">
          <a:extLst>
            <a:ext uri="{FF2B5EF4-FFF2-40B4-BE49-F238E27FC236}">
              <a16:creationId xmlns:a16="http://schemas.microsoft.com/office/drawing/2014/main" id="{F835BA09-A44F-FDF6-898B-08DC77BFA1E1}"/>
            </a:ext>
          </a:extLst>
        </xdr:cNvPr>
        <xdr:cNvSpPr/>
      </xdr:nvSpPr>
      <xdr:spPr>
        <a:xfrm rot="16200000">
          <a:off x="10977668" y="3534727"/>
          <a:ext cx="7115174" cy="45719"/>
        </a:xfrm>
        <a:prstGeom prst="roundRect">
          <a:avLst>
            <a:gd name="adj" fmla="val 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twoCellAnchor>
    <xdr:from>
      <xdr:col>26</xdr:col>
      <xdr:colOff>53446</xdr:colOff>
      <xdr:row>0</xdr:row>
      <xdr:rowOff>0</xdr:rowOff>
    </xdr:from>
    <xdr:to>
      <xdr:col>26</xdr:col>
      <xdr:colOff>99165</xdr:colOff>
      <xdr:row>43</xdr:row>
      <xdr:rowOff>152399</xdr:rowOff>
    </xdr:to>
    <xdr:sp macro="" textlink="">
      <xdr:nvSpPr>
        <xdr:cNvPr id="3166" name="Rectangle: Rounded Corners 3165">
          <a:extLst>
            <a:ext uri="{FF2B5EF4-FFF2-40B4-BE49-F238E27FC236}">
              <a16:creationId xmlns:a16="http://schemas.microsoft.com/office/drawing/2014/main" id="{2EDA5689-3850-A4CC-058C-F2D09B51D722}"/>
            </a:ext>
          </a:extLst>
        </xdr:cNvPr>
        <xdr:cNvSpPr/>
      </xdr:nvSpPr>
      <xdr:spPr>
        <a:xfrm rot="16200000">
          <a:off x="12863619" y="3534727"/>
          <a:ext cx="7115174" cy="45719"/>
        </a:xfrm>
        <a:prstGeom prst="roundRect">
          <a:avLst>
            <a:gd name="adj" fmla="val 0"/>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FI" sz="1100">
            <a:solidFill>
              <a:schemeClr val="lt1"/>
            </a:solidFill>
            <a:latin typeface="+mn-lt"/>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Jesuloluwa Fademi" id="{A0C4C115-5543-4B5F-8DB8-A3E25447994B}" userId="e1ca49026d56402a"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uloluwa Fademi" refreshedDate="45765.127164351848" createdVersion="8" refreshedVersion="8" minRefreshableVersion="3" recordCount="200" xr:uid="{3EAF2B3C-731D-4DD8-B87F-9E2B5A367EE3}">
  <cacheSource type="worksheet">
    <worksheetSource name="salesdata"/>
  </cacheSource>
  <cacheFields count="12">
    <cacheField name="Month" numFmtId="0">
      <sharedItems count="12">
        <s v="May"/>
        <s v="Nov"/>
        <s v="Jun"/>
        <s v="Dec"/>
        <s v="Feb"/>
        <s v="Mar"/>
        <s v="Jan"/>
        <s v="Jul"/>
        <s v="Apr"/>
        <s v="Aug"/>
        <s v="Oct"/>
        <s v="Sep"/>
      </sharedItems>
    </cacheField>
    <cacheField name="Month No" numFmtId="0">
      <sharedItems containsSemiMixedTypes="0" containsString="0" containsNumber="1" containsInteger="1" minValue="1" maxValue="12"/>
    </cacheField>
    <cacheField name="Seller" numFmtId="0">
      <sharedItems count="7">
        <s v="Dave"/>
        <s v="Frank"/>
        <s v="Eve"/>
        <s v="Bob"/>
        <s v="Carol"/>
        <s v="Alice"/>
        <s v="Grace"/>
      </sharedItems>
    </cacheField>
    <cacheField name="Category" numFmtId="0">
      <sharedItems count="5">
        <s v="Electronics"/>
        <s v="Clothing"/>
        <s v="Sports &amp; Fitness"/>
        <s v="Food &amp; Beverages"/>
        <s v="Home Appliances"/>
      </sharedItems>
    </cacheField>
    <cacheField name="Product" numFmtId="0">
      <sharedItems count="20">
        <s v="Smartphone"/>
        <s v="Jeans"/>
        <s v="Yoga Mat"/>
        <s v="Snacks"/>
        <s v="Jacket"/>
        <s v="Juice"/>
        <s v="Bicycle"/>
        <s v="Microwave"/>
        <s v="Dumbbells"/>
        <s v="T-Shirt"/>
        <s v="Dishwasher"/>
        <s v="Tea"/>
        <s v="Sweater"/>
        <s v="Headphones"/>
        <s v="Refrigerator"/>
        <s v="Camera"/>
        <s v="Treadmill"/>
        <s v="Laptop"/>
        <s v="Coffee"/>
        <s v="Toaster"/>
      </sharedItems>
    </cacheField>
    <cacheField name="State" numFmtId="0">
      <sharedItems count="6">
        <s v="California"/>
        <s v="Texas"/>
        <s v="New York"/>
        <s v="Florida"/>
        <s v="Illinois"/>
        <s v="Pennsylvania"/>
      </sharedItems>
    </cacheField>
    <cacheField name="Sales" numFmtId="164">
      <sharedItems containsSemiMixedTypes="0" containsString="0" containsNumber="1" minValue="105.17" maxValue="9995.59" count="200">
        <n v="2122.15"/>
        <n v="8413.3700000000008"/>
        <n v="9088.41"/>
        <n v="3250.66"/>
        <n v="8721.92"/>
        <n v="2361.0700000000002"/>
        <n v="6033.49"/>
        <n v="2770.26"/>
        <n v="3101.1"/>
        <n v="9995.59"/>
        <n v="6751.92"/>
        <n v="1619.29"/>
        <n v="1062.95"/>
        <n v="6399.74"/>
        <n v="1184.17"/>
        <n v="3336.38"/>
        <n v="8421.1"/>
        <n v="455.63"/>
        <n v="3638.37"/>
        <n v="1147.8399999999999"/>
        <n v="2413.4499999999998"/>
        <n v="8105.44"/>
        <n v="3481.09"/>
        <n v="1366.9"/>
        <n v="5313.49"/>
        <n v="8291.9500000000007"/>
        <n v="6144.45"/>
        <n v="6458.2"/>
        <n v="1714.15"/>
        <n v="5708.29"/>
        <n v="1251.78"/>
        <n v="3720.62"/>
        <n v="9523.52"/>
        <n v="2774.29"/>
        <n v="3788.17"/>
        <n v="5553.06"/>
        <n v="7640.85"/>
        <n v="3304.9"/>
        <n v="6488.17"/>
        <n v="9839.82"/>
        <n v="3712.82"/>
        <n v="6866.73"/>
        <n v="6460.53"/>
        <n v="9990.16"/>
        <n v="5484.24"/>
        <n v="2308.25"/>
        <n v="2676.37"/>
        <n v="7227.06"/>
        <n v="5372.31"/>
        <n v="8701.17"/>
        <n v="3021.68"/>
        <n v="8956.6299999999992"/>
        <n v="3598.37"/>
        <n v="2727.34"/>
        <n v="9937.5499999999993"/>
        <n v="5381.29"/>
        <n v="9712.16"/>
        <n v="9104.2900000000009"/>
        <n v="612.22"/>
        <n v="1254.8"/>
        <n v="7302.14"/>
        <n v="7622.37"/>
        <n v="2560.33"/>
        <n v="2340.3000000000002"/>
        <n v="8967.25"/>
        <n v="7815.24"/>
        <n v="1269.5999999999999"/>
        <n v="6333.05"/>
        <n v="2894.66"/>
        <n v="6710.53"/>
        <n v="2832.91"/>
        <n v="3711.91"/>
        <n v="5574.28"/>
        <n v="5732.96"/>
        <n v="8381.41"/>
        <n v="6715.85"/>
        <n v="1999.52"/>
        <n v="600.72"/>
        <n v="2127.62"/>
        <n v="3735.72"/>
        <n v="2856.86"/>
        <n v="1342.77"/>
        <n v="4869.2299999999996"/>
        <n v="5444.61"/>
        <n v="5891.91"/>
        <n v="949.88"/>
        <n v="580.63"/>
        <n v="4376.82"/>
        <n v="5329.19"/>
        <n v="4789.41"/>
        <n v="2299.36"/>
        <n v="745.98"/>
        <n v="8558.85"/>
        <n v="1630.03"/>
        <n v="3582.45"/>
        <n v="4806.49"/>
        <n v="8035.93"/>
        <n v="1021.24"/>
        <n v="3527.69"/>
        <n v="5826.46"/>
        <n v="9376.5"/>
        <n v="3645.5"/>
        <n v="666.75"/>
        <n v="5020.32"/>
        <n v="2664"/>
        <n v="6252.79"/>
        <n v="7547.82"/>
        <n v="9636.9500000000007"/>
        <n v="352.89"/>
        <n v="5059.7"/>
        <n v="7407.02"/>
        <n v="6667.62"/>
        <n v="3322.06"/>
        <n v="6843.25"/>
        <n v="2571.37"/>
        <n v="7479.72"/>
        <n v="7591.39"/>
        <n v="8744.75"/>
        <n v="6543.09"/>
        <n v="9451.36"/>
        <n v="1622.03"/>
        <n v="5157.5600000000004"/>
        <n v="7831.92"/>
        <n v="4722.2299999999996"/>
        <n v="2235.4"/>
        <n v="8559.49"/>
        <n v="960.08"/>
        <n v="7735.05"/>
        <n v="4084.07"/>
        <n v="933.26"/>
        <n v="2900.45"/>
        <n v="5890.36"/>
        <n v="6569.98"/>
        <n v="8306.7000000000007"/>
        <n v="3571.72"/>
        <n v="5441.76"/>
        <n v="5487.68"/>
        <n v="1470.28"/>
        <n v="4247.75"/>
        <n v="3686.64"/>
        <n v="5623.85"/>
        <n v="177.48"/>
        <n v="3789.4"/>
        <n v="3978.59"/>
        <n v="3113.91"/>
        <n v="7246.84"/>
        <n v="1732.96"/>
        <n v="2353.96"/>
        <n v="8712.7999999999993"/>
        <n v="3338.63"/>
        <n v="9974.5499999999993"/>
        <n v="105.17"/>
        <n v="3730.68"/>
        <n v="845.25"/>
        <n v="1372.49"/>
        <n v="1529.93"/>
        <n v="5744.71"/>
        <n v="2089.1"/>
        <n v="4865.1099999999997"/>
        <n v="9241.23"/>
        <n v="736.99"/>
        <n v="4381.41"/>
        <n v="8924.4500000000007"/>
        <n v="4647.5"/>
        <n v="646.21"/>
        <n v="7231.93"/>
        <n v="5540.59"/>
        <n v="9072.49"/>
        <n v="4720.6000000000004"/>
        <n v="1649.91"/>
        <n v="4336.97"/>
        <n v="3670.36"/>
        <n v="3571.26"/>
        <n v="5174.9799999999996"/>
        <n v="9598.06"/>
        <n v="8465.58"/>
        <n v="4287.16"/>
        <n v="6911.46"/>
        <n v="9380.16"/>
        <n v="4770.8599999999997"/>
        <n v="7013.11"/>
        <n v="7246.39"/>
        <n v="7510.31"/>
        <n v="7907.65"/>
        <n v="610.66999999999996"/>
        <n v="6755.38"/>
        <n v="6786.68"/>
        <n v="2233.15"/>
        <n v="1024.99"/>
        <n v="2166.4299999999998"/>
        <n v="1818.76"/>
        <n v="7708.19"/>
        <n v="8718.89"/>
        <n v="9863.86"/>
        <n v="3070.52"/>
        <n v="7043.56"/>
        <n v="5302.99"/>
        <n v="1814.66"/>
        <n v="4748.08"/>
        <n v="8692.98"/>
      </sharedItems>
    </cacheField>
    <cacheField name="Profit" numFmtId="164">
      <sharedItems containsSemiMixedTypes="0" containsString="0" containsNumber="1" minValue="12.54" maxValue="7188.04"/>
    </cacheField>
    <cacheField name="Profit Margin (%)" numFmtId="43">
      <sharedItems containsSemiMixedTypes="0" containsString="0" containsNumber="1" minValue="0.64886483131927808" maxValue="89.35045088872215" count="200">
        <n v="65.257404047781719"/>
        <n v="78.955995041226032"/>
        <n v="53.422985978845581"/>
        <n v="12.162453163357597"/>
        <n v="32.943893087760493"/>
        <n v="5.361975714400673"/>
        <n v="11.822344944634033"/>
        <n v="22.880884826694967"/>
        <n v="34.280739092580049"/>
        <n v="64.145488160278688"/>
        <n v="60.346538466095566"/>
        <n v="78.330008831030895"/>
        <n v="1.1797356413754174"/>
        <n v="42.58969895652011"/>
        <n v="84.80792453786195"/>
        <n v="17.16980679658792"/>
        <n v="9.8746007053710319"/>
        <n v="70.144634901125926"/>
        <n v="89.35045088872215"/>
        <n v="77.387092277669367"/>
        <n v="10.530153929022768"/>
        <n v="77.0993308197951"/>
        <n v="56.159995863364628"/>
        <n v="54.224888433682054"/>
        <n v="62.447280412685458"/>
        <n v="73.797237079335972"/>
        <n v="64.975384289887629"/>
        <n v="9.0599547861633276"/>
        <n v="82.191756847417082"/>
        <n v="5.0745494710324808"/>
        <n v="38.246337215804694"/>
        <n v="59.894049916411774"/>
        <n v="34.315253183696782"/>
        <n v="16.375360903149996"/>
        <n v="58.793031991700474"/>
        <n v="40.641736267931556"/>
        <n v="59.219327692599641"/>
        <n v="46.277950921359192"/>
        <n v="61.314823748452952"/>
        <n v="40.032236362047271"/>
        <n v="87.890875399292185"/>
        <n v="64.415959270278591"/>
        <n v="11.537907880622797"/>
        <n v="71.595950415208563"/>
        <n v="23.896291920120198"/>
        <n v="79.843171233618548"/>
        <n v="37.764957759950981"/>
        <n v="71.247229163726317"/>
        <n v="78.794224458380086"/>
        <n v="50.687666141449938"/>
        <n v="21.703158507849938"/>
        <n v="45.093522898679531"/>
        <n v="66.587093600713672"/>
        <n v="55.50279759765926"/>
        <n v="72.332114052256344"/>
        <n v="29.930369855555085"/>
        <n v="70.65112189255531"/>
        <n v="47.697184514113665"/>
        <n v="13.263206037045505"/>
        <n v="27.760599298693016"/>
        <n v="2.9033954429797291"/>
        <n v="65.264215722931326"/>
        <n v="61.722902907047143"/>
        <n v="12.702217664401999"/>
        <n v="12.135381527224066"/>
        <n v="59.372328936795292"/>
        <n v="86.409105229993699"/>
        <n v="70.958069176778977"/>
        <n v="83.499961998991239"/>
        <n v="68.633476044366091"/>
        <n v="87.000292984951869"/>
        <n v="24.554474650516852"/>
        <n v="12.508341884512438"/>
        <n v="3.411675643995423"/>
        <n v="75.434562919604218"/>
        <n v="77.330047574022643"/>
        <n v="33.822117308153956"/>
        <n v="23.298708216806499"/>
        <n v="1.4589071356727235"/>
        <n v="72.133618151253316"/>
        <n v="74.23954971542183"/>
        <n v="73.041548440909466"/>
        <n v="80.45358301004471"/>
        <n v="20.80406126425952"/>
        <n v="7.568004263473135"/>
        <n v="60.876110666610515"/>
        <n v="21.75051237448978"/>
        <n v="55.764002175095165"/>
        <n v="13.309339693274215"/>
        <n v="54.895488170776787"/>
        <n v="83.305789437060739"/>
        <n v="37.204750797608519"/>
        <n v="51.678671784176608"/>
        <n v="58.184205198677319"/>
        <n v="26.376083406607208"/>
        <n v="17.525470769730095"/>
        <n v="36.300589975273553"/>
        <n v="39.860365829775567"/>
        <n v="33.476864463714215"/>
        <n v="73.817206331117006"/>
        <n v="9.781261664800299"/>
        <n v="18.850637772596354"/>
        <n v="61.909261342332201"/>
        <n v="36.648261465404595"/>
        <n v="41.409159159159167"/>
        <n v="77.231283954842553"/>
        <n v="51.010225469075841"/>
        <n v="8.7726926050254477"/>
        <n v="28.705829011873391"/>
        <n v="18.178745775441232"/>
        <n v="1.2258641126930936"/>
        <n v="25.697025325378476"/>
        <n v="77.122026694280052"/>
        <n v="30.846600664888758"/>
        <n v="51.985906345644537"/>
        <n v="45.321616317188344"/>
        <n v="42.965122329375774"/>
        <n v="46.692701335086767"/>
        <n v="66.375672656191497"/>
        <n v="36.455811650386821"/>
        <n v="10.117568725609269"/>
        <n v="74.524969171468683"/>
        <n v="80.573856729895084"/>
        <n v="56.194213327178055"/>
        <n v="43.694640780173572"/>
        <n v="50.361762207795088"/>
        <n v="12.191692358970085"/>
        <n v="11.742134827829167"/>
        <n v="70.736789526134473"/>
        <n v="54.549643186250343"/>
        <n v="0.64886483131927808"/>
        <n v="6.3008033464847655"/>
        <n v="57.675365830641802"/>
        <n v="32.057616141187225"/>
        <n v="4.269651596429731"/>
        <n v="9.7622827908617804"/>
        <n v="14.909032596652866"/>
        <n v="63.52939576135158"/>
        <n v="45.907127302689659"/>
        <n v="5.0900006509992846"/>
        <n v="10.898405896316579"/>
        <n v="70.841784989858013"/>
        <n v="23.716419485934448"/>
        <n v="38.906245680002208"/>
        <n v="53.872141455597621"/>
        <n v="87.501310916206236"/>
        <n v="48.576424152894468"/>
        <n v="9.9479175517001117"/>
        <n v="63.238109448168224"/>
        <n v="27.170126668723398"/>
        <n v="66.779253199392457"/>
        <n v="46.106304079110011"/>
        <n v="6.5757449044142087"/>
        <n v="33.332150251404912"/>
        <n v="49.79271251520958"/>
        <n v="42.478414045087028"/>
        <n v="14.787865706014749"/>
        <n v="54.861902254559382"/>
        <n v="62.321715233571297"/>
        <n v="36.670118588110022"/>
        <n v="46.467387617199684"/>
        <n v="72.163527266336644"/>
        <n v="75.566113317907536"/>
        <n v="30.361054330285096"/>
        <n v="27.7293758994754"/>
        <n v="77.22876189343647"/>
        <n v="72.123185436930001"/>
        <n v="3.3230127561452258"/>
        <n v="72.773799940685507"/>
        <n v="29.288264208350757"/>
        <n v="61.549192177949116"/>
        <n v="63.080733225078731"/>
        <n v="26.147354155116119"/>
        <n v="75.465025951791134"/>
        <n v="62.824987549567311"/>
        <n v="63.087939633197024"/>
        <n v="85.85007324195972"/>
        <n v="83.688829856499197"/>
        <n v="71.50624296387268"/>
        <n v="10.951484637989797"/>
        <n v="64.033360377920772"/>
        <n v="38.17086852901928"/>
        <n v="29.321026695302855"/>
        <n v="14.896334562101258"/>
        <n v="30.505837850230076"/>
        <n v="80.969390322972217"/>
        <n v="47.748530945911696"/>
        <n v="25.515079596086242"/>
        <n v="1.9619703606864456"/>
        <n v="87.925296455458977"/>
        <n v="6.9508896171017618"/>
        <n v="18.3465897960481"/>
        <n v="76.152124869106046"/>
        <n v="15.867216282469537"/>
        <n v="39.835272201451218"/>
        <n v="36.177586334183282"/>
        <n v="57.352738737957267"/>
        <n v="83.320291404450415"/>
        <n v="29.341544371619687"/>
        <n v="11.258739810743842"/>
      </sharedItems>
    </cacheField>
    <cacheField name="Field1" numFmtId="0" formula=" 0" databaseField="0"/>
    <cacheField name="Number of Categories" numFmtId="0" formula="COUNT(_xlfn.UNIQUE(Category,0))" databaseField="0"/>
    <cacheField name="No of Category" numFmtId="0" formula=" COUNTA(_xlfn.UNIQUE(Category,FALSE,))" databaseField="0"/>
  </cacheFields>
  <extLst>
    <ext xmlns:x14="http://schemas.microsoft.com/office/spreadsheetml/2009/9/main" uri="{725AE2AE-9491-48be-B2B4-4EB974FC3084}">
      <x14:pivotCacheDefinition pivotCacheId="16598651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n v="5"/>
    <x v="0"/>
    <x v="0"/>
    <x v="0"/>
    <x v="0"/>
    <x v="0"/>
    <n v="1384.86"/>
    <x v="0"/>
  </r>
  <r>
    <x v="1"/>
    <n v="11"/>
    <x v="1"/>
    <x v="1"/>
    <x v="1"/>
    <x v="1"/>
    <x v="1"/>
    <n v="6642.86"/>
    <x v="1"/>
  </r>
  <r>
    <x v="2"/>
    <n v="6"/>
    <x v="2"/>
    <x v="2"/>
    <x v="2"/>
    <x v="2"/>
    <x v="2"/>
    <n v="4855.3"/>
    <x v="2"/>
  </r>
  <r>
    <x v="3"/>
    <n v="12"/>
    <x v="0"/>
    <x v="3"/>
    <x v="3"/>
    <x v="1"/>
    <x v="3"/>
    <n v="395.36"/>
    <x v="3"/>
  </r>
  <r>
    <x v="4"/>
    <n v="2"/>
    <x v="0"/>
    <x v="1"/>
    <x v="4"/>
    <x v="3"/>
    <x v="4"/>
    <n v="2873.34"/>
    <x v="4"/>
  </r>
  <r>
    <x v="5"/>
    <n v="3"/>
    <x v="3"/>
    <x v="3"/>
    <x v="5"/>
    <x v="0"/>
    <x v="5"/>
    <n v="126.6"/>
    <x v="5"/>
  </r>
  <r>
    <x v="4"/>
    <n v="2"/>
    <x v="4"/>
    <x v="2"/>
    <x v="6"/>
    <x v="4"/>
    <x v="6"/>
    <n v="713.3"/>
    <x v="6"/>
  </r>
  <r>
    <x v="1"/>
    <n v="11"/>
    <x v="0"/>
    <x v="4"/>
    <x v="7"/>
    <x v="1"/>
    <x v="7"/>
    <n v="633.86"/>
    <x v="7"/>
  </r>
  <r>
    <x v="6"/>
    <n v="1"/>
    <x v="0"/>
    <x v="0"/>
    <x v="0"/>
    <x v="3"/>
    <x v="8"/>
    <n v="1063.08"/>
    <x v="8"/>
  </r>
  <r>
    <x v="7"/>
    <n v="7"/>
    <x v="5"/>
    <x v="2"/>
    <x v="6"/>
    <x v="0"/>
    <x v="9"/>
    <n v="6411.72"/>
    <x v="9"/>
  </r>
  <r>
    <x v="8"/>
    <n v="4"/>
    <x v="1"/>
    <x v="4"/>
    <x v="7"/>
    <x v="0"/>
    <x v="10"/>
    <n v="4074.55"/>
    <x v="10"/>
  </r>
  <r>
    <x v="9"/>
    <n v="8"/>
    <x v="3"/>
    <x v="2"/>
    <x v="8"/>
    <x v="2"/>
    <x v="11"/>
    <n v="1268.3900000000001"/>
    <x v="11"/>
  </r>
  <r>
    <x v="0"/>
    <n v="5"/>
    <x v="1"/>
    <x v="4"/>
    <x v="7"/>
    <x v="2"/>
    <x v="12"/>
    <n v="12.54"/>
    <x v="12"/>
  </r>
  <r>
    <x v="7"/>
    <n v="7"/>
    <x v="0"/>
    <x v="1"/>
    <x v="9"/>
    <x v="1"/>
    <x v="13"/>
    <n v="2725.63"/>
    <x v="13"/>
  </r>
  <r>
    <x v="0"/>
    <n v="5"/>
    <x v="0"/>
    <x v="4"/>
    <x v="10"/>
    <x v="3"/>
    <x v="14"/>
    <n v="1004.27"/>
    <x v="14"/>
  </r>
  <r>
    <x v="6"/>
    <n v="1"/>
    <x v="1"/>
    <x v="2"/>
    <x v="8"/>
    <x v="0"/>
    <x v="15"/>
    <n v="572.85"/>
    <x v="15"/>
  </r>
  <r>
    <x v="6"/>
    <n v="1"/>
    <x v="3"/>
    <x v="3"/>
    <x v="11"/>
    <x v="0"/>
    <x v="16"/>
    <n v="831.55"/>
    <x v="16"/>
  </r>
  <r>
    <x v="6"/>
    <n v="1"/>
    <x v="3"/>
    <x v="1"/>
    <x v="12"/>
    <x v="4"/>
    <x v="17"/>
    <n v="319.60000000000002"/>
    <x v="17"/>
  </r>
  <r>
    <x v="0"/>
    <n v="5"/>
    <x v="5"/>
    <x v="2"/>
    <x v="8"/>
    <x v="3"/>
    <x v="18"/>
    <n v="3250.9"/>
    <x v="18"/>
  </r>
  <r>
    <x v="8"/>
    <n v="4"/>
    <x v="1"/>
    <x v="0"/>
    <x v="13"/>
    <x v="0"/>
    <x v="19"/>
    <n v="888.28"/>
    <x v="19"/>
  </r>
  <r>
    <x v="2"/>
    <n v="6"/>
    <x v="5"/>
    <x v="0"/>
    <x v="0"/>
    <x v="5"/>
    <x v="20"/>
    <n v="254.14"/>
    <x v="20"/>
  </r>
  <r>
    <x v="3"/>
    <n v="12"/>
    <x v="3"/>
    <x v="1"/>
    <x v="1"/>
    <x v="3"/>
    <x v="21"/>
    <n v="6249.24"/>
    <x v="21"/>
  </r>
  <r>
    <x v="5"/>
    <n v="3"/>
    <x v="6"/>
    <x v="4"/>
    <x v="14"/>
    <x v="3"/>
    <x v="22"/>
    <n v="1954.98"/>
    <x v="22"/>
  </r>
  <r>
    <x v="8"/>
    <n v="4"/>
    <x v="2"/>
    <x v="0"/>
    <x v="15"/>
    <x v="0"/>
    <x v="23"/>
    <n v="741.2"/>
    <x v="23"/>
  </r>
  <r>
    <x v="3"/>
    <n v="12"/>
    <x v="3"/>
    <x v="1"/>
    <x v="4"/>
    <x v="4"/>
    <x v="24"/>
    <n v="3318.13"/>
    <x v="24"/>
  </r>
  <r>
    <x v="10"/>
    <n v="10"/>
    <x v="0"/>
    <x v="2"/>
    <x v="16"/>
    <x v="1"/>
    <x v="25"/>
    <n v="6119.23"/>
    <x v="25"/>
  </r>
  <r>
    <x v="7"/>
    <n v="7"/>
    <x v="2"/>
    <x v="2"/>
    <x v="6"/>
    <x v="4"/>
    <x v="26"/>
    <n v="3992.38"/>
    <x v="26"/>
  </r>
  <r>
    <x v="2"/>
    <n v="6"/>
    <x v="0"/>
    <x v="0"/>
    <x v="17"/>
    <x v="4"/>
    <x v="27"/>
    <n v="585.11"/>
    <x v="27"/>
  </r>
  <r>
    <x v="0"/>
    <n v="5"/>
    <x v="0"/>
    <x v="1"/>
    <x v="1"/>
    <x v="0"/>
    <x v="28"/>
    <n v="1408.89"/>
    <x v="28"/>
  </r>
  <r>
    <x v="11"/>
    <n v="9"/>
    <x v="3"/>
    <x v="2"/>
    <x v="6"/>
    <x v="2"/>
    <x v="29"/>
    <n v="289.67"/>
    <x v="29"/>
  </r>
  <r>
    <x v="2"/>
    <n v="6"/>
    <x v="6"/>
    <x v="1"/>
    <x v="9"/>
    <x v="0"/>
    <x v="30"/>
    <n v="478.76"/>
    <x v="30"/>
  </r>
  <r>
    <x v="8"/>
    <n v="4"/>
    <x v="2"/>
    <x v="3"/>
    <x v="3"/>
    <x v="0"/>
    <x v="31"/>
    <n v="2228.4299999999998"/>
    <x v="31"/>
  </r>
  <r>
    <x v="5"/>
    <n v="3"/>
    <x v="3"/>
    <x v="2"/>
    <x v="6"/>
    <x v="1"/>
    <x v="32"/>
    <n v="3268.02"/>
    <x v="32"/>
  </r>
  <r>
    <x v="8"/>
    <n v="4"/>
    <x v="3"/>
    <x v="0"/>
    <x v="15"/>
    <x v="0"/>
    <x v="33"/>
    <n v="454.3"/>
    <x v="33"/>
  </r>
  <r>
    <x v="6"/>
    <n v="1"/>
    <x v="6"/>
    <x v="0"/>
    <x v="17"/>
    <x v="3"/>
    <x v="34"/>
    <n v="2227.1799999999998"/>
    <x v="34"/>
  </r>
  <r>
    <x v="6"/>
    <n v="1"/>
    <x v="4"/>
    <x v="3"/>
    <x v="3"/>
    <x v="4"/>
    <x v="35"/>
    <n v="2256.86"/>
    <x v="35"/>
  </r>
  <r>
    <x v="2"/>
    <n v="6"/>
    <x v="6"/>
    <x v="0"/>
    <x v="13"/>
    <x v="5"/>
    <x v="36"/>
    <n v="4524.8599999999997"/>
    <x v="36"/>
  </r>
  <r>
    <x v="5"/>
    <n v="3"/>
    <x v="2"/>
    <x v="0"/>
    <x v="13"/>
    <x v="5"/>
    <x v="37"/>
    <n v="1529.44"/>
    <x v="37"/>
  </r>
  <r>
    <x v="4"/>
    <n v="2"/>
    <x v="6"/>
    <x v="4"/>
    <x v="7"/>
    <x v="1"/>
    <x v="38"/>
    <n v="3978.21"/>
    <x v="38"/>
  </r>
  <r>
    <x v="11"/>
    <n v="9"/>
    <x v="5"/>
    <x v="0"/>
    <x v="17"/>
    <x v="5"/>
    <x v="39"/>
    <n v="3939.1"/>
    <x v="39"/>
  </r>
  <r>
    <x v="3"/>
    <n v="12"/>
    <x v="3"/>
    <x v="1"/>
    <x v="1"/>
    <x v="1"/>
    <x v="40"/>
    <n v="3263.23"/>
    <x v="40"/>
  </r>
  <r>
    <x v="7"/>
    <n v="7"/>
    <x v="5"/>
    <x v="2"/>
    <x v="8"/>
    <x v="0"/>
    <x v="41"/>
    <n v="4423.2700000000004"/>
    <x v="41"/>
  </r>
  <r>
    <x v="5"/>
    <n v="3"/>
    <x v="6"/>
    <x v="3"/>
    <x v="5"/>
    <x v="0"/>
    <x v="42"/>
    <n v="745.41"/>
    <x v="42"/>
  </r>
  <r>
    <x v="0"/>
    <n v="5"/>
    <x v="2"/>
    <x v="0"/>
    <x v="17"/>
    <x v="2"/>
    <x v="43"/>
    <n v="7152.55"/>
    <x v="43"/>
  </r>
  <r>
    <x v="4"/>
    <n v="2"/>
    <x v="3"/>
    <x v="1"/>
    <x v="12"/>
    <x v="0"/>
    <x v="44"/>
    <n v="1310.53"/>
    <x v="44"/>
  </r>
  <r>
    <x v="7"/>
    <n v="7"/>
    <x v="4"/>
    <x v="4"/>
    <x v="14"/>
    <x v="5"/>
    <x v="45"/>
    <n v="1842.98"/>
    <x v="45"/>
  </r>
  <r>
    <x v="1"/>
    <n v="11"/>
    <x v="5"/>
    <x v="4"/>
    <x v="10"/>
    <x v="2"/>
    <x v="46"/>
    <n v="1010.73"/>
    <x v="46"/>
  </r>
  <r>
    <x v="9"/>
    <n v="8"/>
    <x v="6"/>
    <x v="2"/>
    <x v="2"/>
    <x v="5"/>
    <x v="47"/>
    <n v="5149.08"/>
    <x v="47"/>
  </r>
  <r>
    <x v="6"/>
    <n v="1"/>
    <x v="4"/>
    <x v="4"/>
    <x v="14"/>
    <x v="3"/>
    <x v="48"/>
    <n v="4233.07"/>
    <x v="48"/>
  </r>
  <r>
    <x v="6"/>
    <n v="1"/>
    <x v="5"/>
    <x v="4"/>
    <x v="7"/>
    <x v="2"/>
    <x v="49"/>
    <n v="4410.42"/>
    <x v="49"/>
  </r>
  <r>
    <x v="2"/>
    <n v="6"/>
    <x v="6"/>
    <x v="2"/>
    <x v="16"/>
    <x v="5"/>
    <x v="50"/>
    <n v="655.8"/>
    <x v="50"/>
  </r>
  <r>
    <x v="4"/>
    <n v="2"/>
    <x v="4"/>
    <x v="4"/>
    <x v="14"/>
    <x v="5"/>
    <x v="51"/>
    <n v="4038.86"/>
    <x v="51"/>
  </r>
  <r>
    <x v="7"/>
    <n v="7"/>
    <x v="5"/>
    <x v="1"/>
    <x v="9"/>
    <x v="0"/>
    <x v="52"/>
    <n v="2396.0500000000002"/>
    <x v="52"/>
  </r>
  <r>
    <x v="11"/>
    <n v="9"/>
    <x v="1"/>
    <x v="2"/>
    <x v="8"/>
    <x v="5"/>
    <x v="53"/>
    <n v="1513.75"/>
    <x v="53"/>
  </r>
  <r>
    <x v="5"/>
    <n v="3"/>
    <x v="0"/>
    <x v="3"/>
    <x v="18"/>
    <x v="0"/>
    <x v="54"/>
    <n v="7188.04"/>
    <x v="54"/>
  </r>
  <r>
    <x v="1"/>
    <n v="11"/>
    <x v="3"/>
    <x v="1"/>
    <x v="1"/>
    <x v="0"/>
    <x v="55"/>
    <n v="1610.64"/>
    <x v="55"/>
  </r>
  <r>
    <x v="8"/>
    <n v="4"/>
    <x v="1"/>
    <x v="4"/>
    <x v="7"/>
    <x v="0"/>
    <x v="56"/>
    <n v="6861.75"/>
    <x v="56"/>
  </r>
  <r>
    <x v="6"/>
    <n v="1"/>
    <x v="3"/>
    <x v="4"/>
    <x v="7"/>
    <x v="1"/>
    <x v="57"/>
    <n v="4342.49"/>
    <x v="57"/>
  </r>
  <r>
    <x v="4"/>
    <n v="2"/>
    <x v="0"/>
    <x v="1"/>
    <x v="12"/>
    <x v="0"/>
    <x v="58"/>
    <n v="81.2"/>
    <x v="58"/>
  </r>
  <r>
    <x v="7"/>
    <n v="7"/>
    <x v="1"/>
    <x v="3"/>
    <x v="3"/>
    <x v="0"/>
    <x v="59"/>
    <n v="348.34"/>
    <x v="59"/>
  </r>
  <r>
    <x v="2"/>
    <n v="6"/>
    <x v="0"/>
    <x v="4"/>
    <x v="10"/>
    <x v="2"/>
    <x v="60"/>
    <n v="212.01"/>
    <x v="60"/>
  </r>
  <r>
    <x v="11"/>
    <n v="9"/>
    <x v="4"/>
    <x v="4"/>
    <x v="7"/>
    <x v="4"/>
    <x v="61"/>
    <n v="4974.68"/>
    <x v="61"/>
  </r>
  <r>
    <x v="0"/>
    <n v="5"/>
    <x v="4"/>
    <x v="2"/>
    <x v="8"/>
    <x v="5"/>
    <x v="62"/>
    <n v="1580.31"/>
    <x v="62"/>
  </r>
  <r>
    <x v="0"/>
    <n v="5"/>
    <x v="0"/>
    <x v="3"/>
    <x v="3"/>
    <x v="0"/>
    <x v="63"/>
    <n v="297.27"/>
    <x v="63"/>
  </r>
  <r>
    <x v="5"/>
    <n v="3"/>
    <x v="5"/>
    <x v="1"/>
    <x v="12"/>
    <x v="2"/>
    <x v="64"/>
    <n v="1088.21"/>
    <x v="64"/>
  </r>
  <r>
    <x v="10"/>
    <n v="10"/>
    <x v="5"/>
    <x v="0"/>
    <x v="13"/>
    <x v="2"/>
    <x v="65"/>
    <n v="4640.09"/>
    <x v="65"/>
  </r>
  <r>
    <x v="10"/>
    <n v="10"/>
    <x v="2"/>
    <x v="1"/>
    <x v="4"/>
    <x v="2"/>
    <x v="66"/>
    <n v="1097.05"/>
    <x v="66"/>
  </r>
  <r>
    <x v="6"/>
    <n v="1"/>
    <x v="4"/>
    <x v="4"/>
    <x v="19"/>
    <x v="1"/>
    <x v="67"/>
    <n v="4493.8100000000004"/>
    <x v="67"/>
  </r>
  <r>
    <x v="2"/>
    <n v="6"/>
    <x v="1"/>
    <x v="2"/>
    <x v="6"/>
    <x v="2"/>
    <x v="68"/>
    <n v="2417.04"/>
    <x v="68"/>
  </r>
  <r>
    <x v="2"/>
    <n v="6"/>
    <x v="5"/>
    <x v="1"/>
    <x v="1"/>
    <x v="0"/>
    <x v="69"/>
    <n v="4605.67"/>
    <x v="69"/>
  </r>
  <r>
    <x v="1"/>
    <n v="11"/>
    <x v="4"/>
    <x v="3"/>
    <x v="5"/>
    <x v="5"/>
    <x v="70"/>
    <n v="2464.64"/>
    <x v="70"/>
  </r>
  <r>
    <x v="6"/>
    <n v="1"/>
    <x v="5"/>
    <x v="3"/>
    <x v="18"/>
    <x v="2"/>
    <x v="71"/>
    <n v="911.44"/>
    <x v="71"/>
  </r>
  <r>
    <x v="8"/>
    <n v="4"/>
    <x v="2"/>
    <x v="2"/>
    <x v="6"/>
    <x v="4"/>
    <x v="72"/>
    <n v="697.25"/>
    <x v="72"/>
  </r>
  <r>
    <x v="9"/>
    <n v="8"/>
    <x v="4"/>
    <x v="1"/>
    <x v="4"/>
    <x v="1"/>
    <x v="73"/>
    <n v="195.59"/>
    <x v="73"/>
  </r>
  <r>
    <x v="1"/>
    <n v="11"/>
    <x v="6"/>
    <x v="4"/>
    <x v="7"/>
    <x v="0"/>
    <x v="74"/>
    <n v="6322.48"/>
    <x v="74"/>
  </r>
  <r>
    <x v="6"/>
    <n v="1"/>
    <x v="2"/>
    <x v="1"/>
    <x v="12"/>
    <x v="4"/>
    <x v="75"/>
    <n v="5193.37"/>
    <x v="75"/>
  </r>
  <r>
    <x v="9"/>
    <n v="8"/>
    <x v="5"/>
    <x v="0"/>
    <x v="17"/>
    <x v="3"/>
    <x v="76"/>
    <n v="676.28"/>
    <x v="76"/>
  </r>
  <r>
    <x v="5"/>
    <n v="3"/>
    <x v="1"/>
    <x v="2"/>
    <x v="6"/>
    <x v="2"/>
    <x v="77"/>
    <n v="139.96"/>
    <x v="77"/>
  </r>
  <r>
    <x v="0"/>
    <n v="5"/>
    <x v="3"/>
    <x v="1"/>
    <x v="9"/>
    <x v="0"/>
    <x v="78"/>
    <n v="31.04"/>
    <x v="78"/>
  </r>
  <r>
    <x v="4"/>
    <n v="2"/>
    <x v="6"/>
    <x v="1"/>
    <x v="9"/>
    <x v="0"/>
    <x v="79"/>
    <n v="2694.71"/>
    <x v="79"/>
  </r>
  <r>
    <x v="8"/>
    <n v="4"/>
    <x v="6"/>
    <x v="2"/>
    <x v="2"/>
    <x v="2"/>
    <x v="80"/>
    <n v="2120.92"/>
    <x v="80"/>
  </r>
  <r>
    <x v="3"/>
    <n v="12"/>
    <x v="1"/>
    <x v="4"/>
    <x v="7"/>
    <x v="5"/>
    <x v="81"/>
    <n v="980.78"/>
    <x v="81"/>
  </r>
  <r>
    <x v="5"/>
    <n v="3"/>
    <x v="6"/>
    <x v="1"/>
    <x v="1"/>
    <x v="1"/>
    <x v="82"/>
    <n v="3917.47"/>
    <x v="82"/>
  </r>
  <r>
    <x v="11"/>
    <n v="9"/>
    <x v="5"/>
    <x v="2"/>
    <x v="6"/>
    <x v="0"/>
    <x v="83"/>
    <n v="1132.7"/>
    <x v="83"/>
  </r>
  <r>
    <x v="3"/>
    <n v="12"/>
    <x v="2"/>
    <x v="0"/>
    <x v="0"/>
    <x v="0"/>
    <x v="84"/>
    <n v="445.9"/>
    <x v="84"/>
  </r>
  <r>
    <x v="10"/>
    <n v="10"/>
    <x v="2"/>
    <x v="3"/>
    <x v="3"/>
    <x v="4"/>
    <x v="85"/>
    <n v="578.25"/>
    <x v="85"/>
  </r>
  <r>
    <x v="2"/>
    <n v="6"/>
    <x v="6"/>
    <x v="2"/>
    <x v="6"/>
    <x v="1"/>
    <x v="86"/>
    <n v="126.29"/>
    <x v="86"/>
  </r>
  <r>
    <x v="7"/>
    <n v="7"/>
    <x v="3"/>
    <x v="1"/>
    <x v="9"/>
    <x v="1"/>
    <x v="87"/>
    <n v="2440.69"/>
    <x v="87"/>
  </r>
  <r>
    <x v="3"/>
    <n v="12"/>
    <x v="6"/>
    <x v="3"/>
    <x v="5"/>
    <x v="1"/>
    <x v="88"/>
    <n v="709.28"/>
    <x v="88"/>
  </r>
  <r>
    <x v="1"/>
    <n v="11"/>
    <x v="6"/>
    <x v="0"/>
    <x v="13"/>
    <x v="2"/>
    <x v="89"/>
    <n v="2629.17"/>
    <x v="89"/>
  </r>
  <r>
    <x v="5"/>
    <n v="3"/>
    <x v="4"/>
    <x v="4"/>
    <x v="19"/>
    <x v="5"/>
    <x v="90"/>
    <n v="1915.5"/>
    <x v="90"/>
  </r>
  <r>
    <x v="4"/>
    <n v="2"/>
    <x v="3"/>
    <x v="1"/>
    <x v="9"/>
    <x v="2"/>
    <x v="91"/>
    <n v="277.54000000000002"/>
    <x v="91"/>
  </r>
  <r>
    <x v="1"/>
    <n v="11"/>
    <x v="4"/>
    <x v="2"/>
    <x v="8"/>
    <x v="2"/>
    <x v="92"/>
    <n v="4423.1000000000004"/>
    <x v="92"/>
  </r>
  <r>
    <x v="7"/>
    <n v="7"/>
    <x v="1"/>
    <x v="2"/>
    <x v="2"/>
    <x v="0"/>
    <x v="93"/>
    <n v="948.42"/>
    <x v="93"/>
  </r>
  <r>
    <x v="1"/>
    <n v="11"/>
    <x v="3"/>
    <x v="4"/>
    <x v="10"/>
    <x v="0"/>
    <x v="94"/>
    <n v="944.91"/>
    <x v="94"/>
  </r>
  <r>
    <x v="1"/>
    <n v="11"/>
    <x v="3"/>
    <x v="4"/>
    <x v="10"/>
    <x v="1"/>
    <x v="95"/>
    <n v="842.36"/>
    <x v="95"/>
  </r>
  <r>
    <x v="7"/>
    <n v="7"/>
    <x v="4"/>
    <x v="4"/>
    <x v="7"/>
    <x v="0"/>
    <x v="96"/>
    <n v="2917.09"/>
    <x v="96"/>
  </r>
  <r>
    <x v="2"/>
    <n v="6"/>
    <x v="0"/>
    <x v="3"/>
    <x v="5"/>
    <x v="0"/>
    <x v="97"/>
    <n v="407.07"/>
    <x v="97"/>
  </r>
  <r>
    <x v="4"/>
    <n v="2"/>
    <x v="3"/>
    <x v="0"/>
    <x v="13"/>
    <x v="4"/>
    <x v="98"/>
    <n v="1180.96"/>
    <x v="98"/>
  </r>
  <r>
    <x v="9"/>
    <n v="8"/>
    <x v="5"/>
    <x v="3"/>
    <x v="3"/>
    <x v="5"/>
    <x v="99"/>
    <n v="4300.93"/>
    <x v="99"/>
  </r>
  <r>
    <x v="10"/>
    <n v="10"/>
    <x v="1"/>
    <x v="1"/>
    <x v="1"/>
    <x v="0"/>
    <x v="100"/>
    <n v="917.14"/>
    <x v="100"/>
  </r>
  <r>
    <x v="2"/>
    <n v="6"/>
    <x v="0"/>
    <x v="3"/>
    <x v="11"/>
    <x v="3"/>
    <x v="101"/>
    <n v="687.2"/>
    <x v="101"/>
  </r>
  <r>
    <x v="7"/>
    <n v="7"/>
    <x v="4"/>
    <x v="2"/>
    <x v="8"/>
    <x v="0"/>
    <x v="102"/>
    <n v="412.78"/>
    <x v="102"/>
  </r>
  <r>
    <x v="5"/>
    <n v="3"/>
    <x v="2"/>
    <x v="2"/>
    <x v="8"/>
    <x v="2"/>
    <x v="103"/>
    <n v="1839.86"/>
    <x v="103"/>
  </r>
  <r>
    <x v="0"/>
    <n v="5"/>
    <x v="1"/>
    <x v="3"/>
    <x v="5"/>
    <x v="0"/>
    <x v="104"/>
    <n v="1103.1400000000001"/>
    <x v="104"/>
  </r>
  <r>
    <x v="8"/>
    <n v="4"/>
    <x v="1"/>
    <x v="3"/>
    <x v="18"/>
    <x v="1"/>
    <x v="105"/>
    <n v="4829.1099999999997"/>
    <x v="105"/>
  </r>
  <r>
    <x v="8"/>
    <n v="4"/>
    <x v="5"/>
    <x v="1"/>
    <x v="1"/>
    <x v="5"/>
    <x v="106"/>
    <n v="3850.16"/>
    <x v="106"/>
  </r>
  <r>
    <x v="6"/>
    <n v="1"/>
    <x v="6"/>
    <x v="2"/>
    <x v="6"/>
    <x v="5"/>
    <x v="107"/>
    <n v="845.42"/>
    <x v="107"/>
  </r>
  <r>
    <x v="6"/>
    <n v="1"/>
    <x v="3"/>
    <x v="1"/>
    <x v="1"/>
    <x v="2"/>
    <x v="108"/>
    <n v="101.3"/>
    <x v="108"/>
  </r>
  <r>
    <x v="0"/>
    <n v="5"/>
    <x v="1"/>
    <x v="4"/>
    <x v="7"/>
    <x v="5"/>
    <x v="109"/>
    <n v="919.79"/>
    <x v="109"/>
  </r>
  <r>
    <x v="8"/>
    <n v="4"/>
    <x v="2"/>
    <x v="2"/>
    <x v="2"/>
    <x v="1"/>
    <x v="110"/>
    <n v="90.8"/>
    <x v="110"/>
  </r>
  <r>
    <x v="7"/>
    <n v="7"/>
    <x v="3"/>
    <x v="0"/>
    <x v="13"/>
    <x v="3"/>
    <x v="111"/>
    <n v="1713.38"/>
    <x v="111"/>
  </r>
  <r>
    <x v="10"/>
    <n v="10"/>
    <x v="0"/>
    <x v="0"/>
    <x v="13"/>
    <x v="0"/>
    <x v="112"/>
    <n v="2562.04"/>
    <x v="112"/>
  </r>
  <r>
    <x v="10"/>
    <n v="10"/>
    <x v="3"/>
    <x v="4"/>
    <x v="14"/>
    <x v="2"/>
    <x v="113"/>
    <n v="2110.91"/>
    <x v="113"/>
  </r>
  <r>
    <x v="6"/>
    <n v="1"/>
    <x v="4"/>
    <x v="1"/>
    <x v="12"/>
    <x v="2"/>
    <x v="114"/>
    <n v="1336.75"/>
    <x v="114"/>
  </r>
  <r>
    <x v="9"/>
    <n v="8"/>
    <x v="4"/>
    <x v="3"/>
    <x v="3"/>
    <x v="1"/>
    <x v="115"/>
    <n v="3389.93"/>
    <x v="115"/>
  </r>
  <r>
    <x v="8"/>
    <n v="4"/>
    <x v="1"/>
    <x v="4"/>
    <x v="10"/>
    <x v="0"/>
    <x v="116"/>
    <n v="3261.65"/>
    <x v="116"/>
  </r>
  <r>
    <x v="11"/>
    <n v="9"/>
    <x v="6"/>
    <x v="2"/>
    <x v="16"/>
    <x v="3"/>
    <x v="117"/>
    <n v="4083.16"/>
    <x v="117"/>
  </r>
  <r>
    <x v="4"/>
    <n v="2"/>
    <x v="6"/>
    <x v="2"/>
    <x v="2"/>
    <x v="0"/>
    <x v="118"/>
    <n v="4343.0200000000004"/>
    <x v="118"/>
  </r>
  <r>
    <x v="7"/>
    <n v="7"/>
    <x v="3"/>
    <x v="3"/>
    <x v="11"/>
    <x v="0"/>
    <x v="119"/>
    <n v="3445.57"/>
    <x v="119"/>
  </r>
  <r>
    <x v="7"/>
    <n v="7"/>
    <x v="5"/>
    <x v="0"/>
    <x v="15"/>
    <x v="4"/>
    <x v="120"/>
    <n v="164.11"/>
    <x v="120"/>
  </r>
  <r>
    <x v="9"/>
    <n v="8"/>
    <x v="5"/>
    <x v="3"/>
    <x v="5"/>
    <x v="0"/>
    <x v="121"/>
    <n v="3843.67"/>
    <x v="121"/>
  </r>
  <r>
    <x v="8"/>
    <n v="4"/>
    <x v="6"/>
    <x v="4"/>
    <x v="10"/>
    <x v="0"/>
    <x v="122"/>
    <n v="6310.48"/>
    <x v="122"/>
  </r>
  <r>
    <x v="10"/>
    <n v="10"/>
    <x v="5"/>
    <x v="0"/>
    <x v="0"/>
    <x v="2"/>
    <x v="123"/>
    <n v="2653.62"/>
    <x v="123"/>
  </r>
  <r>
    <x v="9"/>
    <n v="8"/>
    <x v="0"/>
    <x v="0"/>
    <x v="15"/>
    <x v="3"/>
    <x v="124"/>
    <n v="976.75"/>
    <x v="124"/>
  </r>
  <r>
    <x v="2"/>
    <n v="6"/>
    <x v="3"/>
    <x v="2"/>
    <x v="8"/>
    <x v="0"/>
    <x v="125"/>
    <n v="4310.71"/>
    <x v="125"/>
  </r>
  <r>
    <x v="1"/>
    <n v="11"/>
    <x v="4"/>
    <x v="0"/>
    <x v="17"/>
    <x v="3"/>
    <x v="126"/>
    <n v="117.05"/>
    <x v="126"/>
  </r>
  <r>
    <x v="7"/>
    <n v="7"/>
    <x v="5"/>
    <x v="1"/>
    <x v="12"/>
    <x v="4"/>
    <x v="127"/>
    <n v="908.26"/>
    <x v="127"/>
  </r>
  <r>
    <x v="11"/>
    <n v="9"/>
    <x v="0"/>
    <x v="2"/>
    <x v="6"/>
    <x v="2"/>
    <x v="128"/>
    <n v="2888.94"/>
    <x v="128"/>
  </r>
  <r>
    <x v="10"/>
    <n v="10"/>
    <x v="5"/>
    <x v="2"/>
    <x v="8"/>
    <x v="4"/>
    <x v="129"/>
    <n v="509.09"/>
    <x v="129"/>
  </r>
  <r>
    <x v="10"/>
    <n v="10"/>
    <x v="3"/>
    <x v="1"/>
    <x v="4"/>
    <x v="2"/>
    <x v="130"/>
    <n v="18.82"/>
    <x v="130"/>
  </r>
  <r>
    <x v="10"/>
    <n v="10"/>
    <x v="0"/>
    <x v="4"/>
    <x v="14"/>
    <x v="3"/>
    <x v="131"/>
    <n v="371.14"/>
    <x v="131"/>
  </r>
  <r>
    <x v="2"/>
    <n v="6"/>
    <x v="5"/>
    <x v="0"/>
    <x v="0"/>
    <x v="0"/>
    <x v="132"/>
    <n v="3789.26"/>
    <x v="132"/>
  </r>
  <r>
    <x v="4"/>
    <n v="2"/>
    <x v="2"/>
    <x v="0"/>
    <x v="17"/>
    <x v="0"/>
    <x v="133"/>
    <n v="2662.93"/>
    <x v="133"/>
  </r>
  <r>
    <x v="6"/>
    <n v="1"/>
    <x v="0"/>
    <x v="3"/>
    <x v="11"/>
    <x v="5"/>
    <x v="134"/>
    <n v="152.5"/>
    <x v="134"/>
  </r>
  <r>
    <x v="11"/>
    <n v="9"/>
    <x v="3"/>
    <x v="0"/>
    <x v="15"/>
    <x v="0"/>
    <x v="135"/>
    <n v="531.24"/>
    <x v="135"/>
  </r>
  <r>
    <x v="0"/>
    <n v="5"/>
    <x v="5"/>
    <x v="3"/>
    <x v="5"/>
    <x v="4"/>
    <x v="136"/>
    <n v="818.16"/>
    <x v="136"/>
  </r>
  <r>
    <x v="11"/>
    <n v="9"/>
    <x v="4"/>
    <x v="4"/>
    <x v="7"/>
    <x v="4"/>
    <x v="137"/>
    <n v="934.06"/>
    <x v="137"/>
  </r>
  <r>
    <x v="3"/>
    <n v="12"/>
    <x v="0"/>
    <x v="1"/>
    <x v="1"/>
    <x v="3"/>
    <x v="138"/>
    <n v="1950.02"/>
    <x v="138"/>
  </r>
  <r>
    <x v="2"/>
    <n v="6"/>
    <x v="0"/>
    <x v="4"/>
    <x v="19"/>
    <x v="5"/>
    <x v="139"/>
    <n v="187.65"/>
    <x v="139"/>
  </r>
  <r>
    <x v="6"/>
    <n v="1"/>
    <x v="0"/>
    <x v="3"/>
    <x v="3"/>
    <x v="4"/>
    <x v="140"/>
    <n v="612.91"/>
    <x v="140"/>
  </r>
  <r>
    <x v="1"/>
    <n v="11"/>
    <x v="1"/>
    <x v="0"/>
    <x v="17"/>
    <x v="1"/>
    <x v="141"/>
    <n v="125.73"/>
    <x v="141"/>
  </r>
  <r>
    <x v="5"/>
    <n v="3"/>
    <x v="2"/>
    <x v="2"/>
    <x v="8"/>
    <x v="3"/>
    <x v="142"/>
    <n v="898.71"/>
    <x v="142"/>
  </r>
  <r>
    <x v="8"/>
    <n v="4"/>
    <x v="6"/>
    <x v="3"/>
    <x v="11"/>
    <x v="5"/>
    <x v="143"/>
    <n v="1547.92"/>
    <x v="143"/>
  </r>
  <r>
    <x v="7"/>
    <n v="7"/>
    <x v="3"/>
    <x v="4"/>
    <x v="19"/>
    <x v="0"/>
    <x v="144"/>
    <n v="1677.53"/>
    <x v="144"/>
  </r>
  <r>
    <x v="11"/>
    <n v="9"/>
    <x v="6"/>
    <x v="3"/>
    <x v="18"/>
    <x v="3"/>
    <x v="145"/>
    <n v="6341.08"/>
    <x v="145"/>
  </r>
  <r>
    <x v="5"/>
    <n v="3"/>
    <x v="1"/>
    <x v="1"/>
    <x v="4"/>
    <x v="0"/>
    <x v="146"/>
    <n v="841.81"/>
    <x v="146"/>
  </r>
  <r>
    <x v="3"/>
    <n v="12"/>
    <x v="0"/>
    <x v="0"/>
    <x v="17"/>
    <x v="3"/>
    <x v="147"/>
    <n v="234.17"/>
    <x v="147"/>
  </r>
  <r>
    <x v="8"/>
    <n v="4"/>
    <x v="2"/>
    <x v="3"/>
    <x v="3"/>
    <x v="2"/>
    <x v="148"/>
    <n v="5509.81"/>
    <x v="148"/>
  </r>
  <r>
    <x v="9"/>
    <n v="8"/>
    <x v="1"/>
    <x v="2"/>
    <x v="16"/>
    <x v="0"/>
    <x v="149"/>
    <n v="907.11"/>
    <x v="149"/>
  </r>
  <r>
    <x v="4"/>
    <n v="2"/>
    <x v="0"/>
    <x v="0"/>
    <x v="0"/>
    <x v="4"/>
    <x v="150"/>
    <n v="6660.93"/>
    <x v="150"/>
  </r>
  <r>
    <x v="9"/>
    <n v="8"/>
    <x v="4"/>
    <x v="2"/>
    <x v="6"/>
    <x v="0"/>
    <x v="151"/>
    <n v="48.49"/>
    <x v="151"/>
  </r>
  <r>
    <x v="0"/>
    <n v="5"/>
    <x v="2"/>
    <x v="4"/>
    <x v="14"/>
    <x v="2"/>
    <x v="152"/>
    <n v="245.32"/>
    <x v="152"/>
  </r>
  <r>
    <x v="8"/>
    <n v="4"/>
    <x v="1"/>
    <x v="4"/>
    <x v="19"/>
    <x v="5"/>
    <x v="153"/>
    <n v="281.74"/>
    <x v="153"/>
  </r>
  <r>
    <x v="0"/>
    <n v="5"/>
    <x v="3"/>
    <x v="4"/>
    <x v="14"/>
    <x v="1"/>
    <x v="154"/>
    <n v="683.4"/>
    <x v="154"/>
  </r>
  <r>
    <x v="3"/>
    <n v="12"/>
    <x v="3"/>
    <x v="1"/>
    <x v="4"/>
    <x v="1"/>
    <x v="155"/>
    <n v="649.89"/>
    <x v="155"/>
  </r>
  <r>
    <x v="8"/>
    <n v="4"/>
    <x v="0"/>
    <x v="4"/>
    <x v="7"/>
    <x v="0"/>
    <x v="156"/>
    <n v="849.52"/>
    <x v="156"/>
  </r>
  <r>
    <x v="4"/>
    <n v="2"/>
    <x v="2"/>
    <x v="2"/>
    <x v="16"/>
    <x v="2"/>
    <x v="157"/>
    <n v="1146.1199999999999"/>
    <x v="157"/>
  </r>
  <r>
    <x v="10"/>
    <n v="10"/>
    <x v="1"/>
    <x v="4"/>
    <x v="14"/>
    <x v="5"/>
    <x v="158"/>
    <n v="3032.02"/>
    <x v="158"/>
  </r>
  <r>
    <x v="2"/>
    <n v="6"/>
    <x v="1"/>
    <x v="2"/>
    <x v="16"/>
    <x v="5"/>
    <x v="159"/>
    <n v="3388.77"/>
    <x v="159"/>
  </r>
  <r>
    <x v="7"/>
    <n v="7"/>
    <x v="2"/>
    <x v="0"/>
    <x v="17"/>
    <x v="0"/>
    <x v="160"/>
    <n v="342.46"/>
    <x v="160"/>
  </r>
  <r>
    <x v="4"/>
    <n v="2"/>
    <x v="3"/>
    <x v="2"/>
    <x v="6"/>
    <x v="2"/>
    <x v="161"/>
    <n v="3161.78"/>
    <x v="161"/>
  </r>
  <r>
    <x v="10"/>
    <n v="10"/>
    <x v="4"/>
    <x v="3"/>
    <x v="11"/>
    <x v="0"/>
    <x v="162"/>
    <n v="6743.86"/>
    <x v="162"/>
  </r>
  <r>
    <x v="8"/>
    <n v="4"/>
    <x v="4"/>
    <x v="0"/>
    <x v="17"/>
    <x v="2"/>
    <x v="163"/>
    <n v="1411.03"/>
    <x v="163"/>
  </r>
  <r>
    <x v="6"/>
    <n v="1"/>
    <x v="3"/>
    <x v="2"/>
    <x v="8"/>
    <x v="2"/>
    <x v="164"/>
    <n v="179.19"/>
    <x v="164"/>
  </r>
  <r>
    <x v="11"/>
    <n v="9"/>
    <x v="0"/>
    <x v="2"/>
    <x v="8"/>
    <x v="4"/>
    <x v="165"/>
    <n v="5585.13"/>
    <x v="165"/>
  </r>
  <r>
    <x v="0"/>
    <n v="5"/>
    <x v="4"/>
    <x v="2"/>
    <x v="2"/>
    <x v="0"/>
    <x v="166"/>
    <n v="3996.05"/>
    <x v="166"/>
  </r>
  <r>
    <x v="4"/>
    <n v="2"/>
    <x v="0"/>
    <x v="0"/>
    <x v="15"/>
    <x v="5"/>
    <x v="167"/>
    <n v="301.48"/>
    <x v="167"/>
  </r>
  <r>
    <x v="10"/>
    <n v="10"/>
    <x v="1"/>
    <x v="3"/>
    <x v="11"/>
    <x v="2"/>
    <x v="168"/>
    <n v="3435.36"/>
    <x v="168"/>
  </r>
  <r>
    <x v="9"/>
    <n v="8"/>
    <x v="4"/>
    <x v="0"/>
    <x v="13"/>
    <x v="0"/>
    <x v="169"/>
    <n v="483.23"/>
    <x v="169"/>
  </r>
  <r>
    <x v="7"/>
    <n v="7"/>
    <x v="3"/>
    <x v="2"/>
    <x v="8"/>
    <x v="3"/>
    <x v="170"/>
    <n v="2669.37"/>
    <x v="170"/>
  </r>
  <r>
    <x v="1"/>
    <n v="11"/>
    <x v="3"/>
    <x v="4"/>
    <x v="7"/>
    <x v="0"/>
    <x v="171"/>
    <n v="2315.29"/>
    <x v="171"/>
  </r>
  <r>
    <x v="2"/>
    <n v="6"/>
    <x v="5"/>
    <x v="1"/>
    <x v="1"/>
    <x v="2"/>
    <x v="172"/>
    <n v="933.79"/>
    <x v="172"/>
  </r>
  <r>
    <x v="2"/>
    <n v="6"/>
    <x v="6"/>
    <x v="2"/>
    <x v="2"/>
    <x v="5"/>
    <x v="173"/>
    <n v="3905.3"/>
    <x v="173"/>
  </r>
  <r>
    <x v="7"/>
    <n v="7"/>
    <x v="6"/>
    <x v="1"/>
    <x v="1"/>
    <x v="3"/>
    <x v="174"/>
    <n v="6029.98"/>
    <x v="174"/>
  </r>
  <r>
    <x v="8"/>
    <n v="4"/>
    <x v="2"/>
    <x v="0"/>
    <x v="17"/>
    <x v="3"/>
    <x v="175"/>
    <n v="5340.76"/>
    <x v="175"/>
  </r>
  <r>
    <x v="4"/>
    <n v="2"/>
    <x v="2"/>
    <x v="3"/>
    <x v="11"/>
    <x v="0"/>
    <x v="176"/>
    <n v="3680.53"/>
    <x v="176"/>
  </r>
  <r>
    <x v="1"/>
    <n v="11"/>
    <x v="3"/>
    <x v="4"/>
    <x v="10"/>
    <x v="3"/>
    <x v="177"/>
    <n v="5784.12"/>
    <x v="177"/>
  </r>
  <r>
    <x v="6"/>
    <n v="1"/>
    <x v="4"/>
    <x v="0"/>
    <x v="15"/>
    <x v="2"/>
    <x v="178"/>
    <n v="6707.4"/>
    <x v="178"/>
  </r>
  <r>
    <x v="9"/>
    <n v="8"/>
    <x v="5"/>
    <x v="3"/>
    <x v="18"/>
    <x v="0"/>
    <x v="179"/>
    <n v="522.48"/>
    <x v="179"/>
  </r>
  <r>
    <x v="2"/>
    <n v="6"/>
    <x v="5"/>
    <x v="0"/>
    <x v="13"/>
    <x v="0"/>
    <x v="180"/>
    <n v="4490.7299999999996"/>
    <x v="180"/>
  </r>
  <r>
    <x v="6"/>
    <n v="1"/>
    <x v="2"/>
    <x v="2"/>
    <x v="8"/>
    <x v="1"/>
    <x v="181"/>
    <n v="2766.01"/>
    <x v="181"/>
  </r>
  <r>
    <x v="2"/>
    <n v="6"/>
    <x v="1"/>
    <x v="0"/>
    <x v="15"/>
    <x v="0"/>
    <x v="182"/>
    <n v="2202.1"/>
    <x v="182"/>
  </r>
  <r>
    <x v="6"/>
    <n v="1"/>
    <x v="3"/>
    <x v="2"/>
    <x v="8"/>
    <x v="4"/>
    <x v="183"/>
    <n v="1177.95"/>
    <x v="183"/>
  </r>
  <r>
    <x v="0"/>
    <n v="5"/>
    <x v="4"/>
    <x v="1"/>
    <x v="12"/>
    <x v="3"/>
    <x v="184"/>
    <n v="186.29"/>
    <x v="184"/>
  </r>
  <r>
    <x v="9"/>
    <n v="8"/>
    <x v="6"/>
    <x v="1"/>
    <x v="1"/>
    <x v="2"/>
    <x v="185"/>
    <n v="5469.79"/>
    <x v="185"/>
  </r>
  <r>
    <x v="8"/>
    <n v="4"/>
    <x v="4"/>
    <x v="0"/>
    <x v="13"/>
    <x v="1"/>
    <x v="186"/>
    <n v="3240.54"/>
    <x v="186"/>
  </r>
  <r>
    <x v="10"/>
    <n v="10"/>
    <x v="1"/>
    <x v="0"/>
    <x v="15"/>
    <x v="2"/>
    <x v="187"/>
    <n v="569.79"/>
    <x v="187"/>
  </r>
  <r>
    <x v="8"/>
    <n v="4"/>
    <x v="3"/>
    <x v="2"/>
    <x v="8"/>
    <x v="5"/>
    <x v="188"/>
    <n v="20.11"/>
    <x v="188"/>
  </r>
  <r>
    <x v="6"/>
    <n v="1"/>
    <x v="3"/>
    <x v="0"/>
    <x v="15"/>
    <x v="4"/>
    <x v="189"/>
    <n v="1904.84"/>
    <x v="189"/>
  </r>
  <r>
    <x v="5"/>
    <n v="3"/>
    <x v="0"/>
    <x v="3"/>
    <x v="11"/>
    <x v="5"/>
    <x v="190"/>
    <n v="126.42"/>
    <x v="190"/>
  </r>
  <r>
    <x v="2"/>
    <n v="6"/>
    <x v="4"/>
    <x v="1"/>
    <x v="4"/>
    <x v="0"/>
    <x v="191"/>
    <n v="1414.19"/>
    <x v="191"/>
  </r>
  <r>
    <x v="9"/>
    <n v="8"/>
    <x v="4"/>
    <x v="1"/>
    <x v="12"/>
    <x v="0"/>
    <x v="192"/>
    <n v="6639.62"/>
    <x v="192"/>
  </r>
  <r>
    <x v="10"/>
    <n v="10"/>
    <x v="2"/>
    <x v="2"/>
    <x v="6"/>
    <x v="3"/>
    <x v="193"/>
    <n v="1565.12"/>
    <x v="193"/>
  </r>
  <r>
    <x v="3"/>
    <n v="12"/>
    <x v="6"/>
    <x v="4"/>
    <x v="14"/>
    <x v="0"/>
    <x v="194"/>
    <n v="1223.1500000000001"/>
    <x v="194"/>
  </r>
  <r>
    <x v="8"/>
    <n v="4"/>
    <x v="4"/>
    <x v="1"/>
    <x v="4"/>
    <x v="2"/>
    <x v="195"/>
    <n v="2548.19"/>
    <x v="195"/>
  </r>
  <r>
    <x v="5"/>
    <n v="3"/>
    <x v="5"/>
    <x v="0"/>
    <x v="13"/>
    <x v="4"/>
    <x v="196"/>
    <n v="3041.41"/>
    <x v="196"/>
  </r>
  <r>
    <x v="3"/>
    <n v="12"/>
    <x v="3"/>
    <x v="1"/>
    <x v="4"/>
    <x v="5"/>
    <x v="197"/>
    <n v="1511.98"/>
    <x v="197"/>
  </r>
  <r>
    <x v="10"/>
    <n v="10"/>
    <x v="3"/>
    <x v="3"/>
    <x v="11"/>
    <x v="4"/>
    <x v="198"/>
    <n v="1393.16"/>
    <x v="198"/>
  </r>
  <r>
    <x v="4"/>
    <n v="2"/>
    <x v="0"/>
    <x v="3"/>
    <x v="3"/>
    <x v="4"/>
    <x v="199"/>
    <n v="978.72"/>
    <x v="1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F0DD61-30BF-48C4-928C-9F857EB23E9F}" name="PivotTable27"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tate" colHeaderCaption="Seller">
  <location ref="M50:N57" firstHeaderRow="1" firstDataRow="1" firstDataCol="1"/>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axis="axisRow"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Items count="1">
    <i/>
  </colItems>
  <dataFields count="1">
    <dataField name="Count of Sales" fld="6"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374D3C-983C-4C62-B1A9-B491AF57F9B2}" name="PivotTable17"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Seller">
  <location ref="G3:J29" firstHeaderRow="0" firstDataRow="1" firstDataCol="1"/>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dataField="1"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2"/>
  </colFields>
  <colItems count="3">
    <i>
      <x/>
    </i>
    <i i="1">
      <x v="1"/>
    </i>
    <i i="2">
      <x v="2"/>
    </i>
  </colItems>
  <dataFields count="3">
    <dataField name="Sum of Sales" fld="6" baseField="0" baseItem="0" numFmtId="164"/>
    <dataField name="Sum of Profit" fld="7" baseField="0" baseItem="0" numFmtId="164"/>
    <dataField name="Average of Profit Margin (%)" fld="8" subtotal="average" baseField="4" baseItem="7"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A01CEB-1062-4B49-A31E-6EAEEC0991B6}"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tate" colHeaderCaption="Seller">
  <location ref="B1:D2" firstHeaderRow="0" firstDataRow="1" firstDataCol="0"/>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dataField="1"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Max of Sales" fld="6" subtotal="max" baseField="0" baseItem="1" numFmtId="164"/>
    <dataField name="Max of Profit" fld="7" subtotal="max" baseField="0" baseItem="1" numFmtId="164"/>
    <dataField name="Average of Sales" fld="6" subtotal="average"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51F28B-A17D-4999-863A-F9570C716093}" name="PivotTable23"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Seller">
  <location ref="M3:N29" firstHeaderRow="1" firstDataRow="1" firstDataCol="1"/>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Items count="1">
    <i/>
  </colItems>
  <dataFields count="1">
    <dataField name="Count of Sales" fld="6"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750009-84F5-4FF8-95AB-47B5DFA1CF67}" name="PivotTable26"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Month" colHeaderCaption="Seller">
  <location ref="M33:N46" firstHeaderRow="1" firstDataRow="1" firstDataCol="1"/>
  <pivotFields count="12">
    <pivotField axis="axisRow"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Count of Sales" fld="6"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7E71E2-E486-4748-8E60-E9FF7564EF0B}"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eller" colHeaderCaption="Seller">
  <location ref="M61:N69" firstHeaderRow="1" firstDataRow="1" firstDataCol="1"/>
  <pivotFields count="12">
    <pivotField showAll="0">
      <items count="13">
        <item x="6"/>
        <item x="4"/>
        <item x="5"/>
        <item x="8"/>
        <item x="0"/>
        <item x="2"/>
        <item x="7"/>
        <item x="9"/>
        <item x="11"/>
        <item x="10"/>
        <item x="1"/>
        <item x="3"/>
        <item t="default"/>
      </items>
    </pivotField>
    <pivotField showAll="0"/>
    <pivotField axis="axisRow"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8">
    <i>
      <x/>
    </i>
    <i>
      <x v="1"/>
    </i>
    <i>
      <x v="2"/>
    </i>
    <i>
      <x v="3"/>
    </i>
    <i>
      <x v="4"/>
    </i>
    <i>
      <x v="5"/>
    </i>
    <i>
      <x v="6"/>
    </i>
    <i t="grand">
      <x/>
    </i>
  </rowItems>
  <colItems count="1">
    <i/>
  </colItems>
  <dataFields count="1">
    <dataField name="Count of Sales" fld="6"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506381-514A-473E-937E-D9B1DF046157}" name="PivotTable14"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tate" colHeaderCaption="Seller">
  <location ref="B3:D4" firstHeaderRow="0" firstDataRow="1" firstDataCol="0"/>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dataField="1"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3">
    <i>
      <x/>
    </i>
    <i i="1">
      <x v="1"/>
    </i>
    <i i="2">
      <x v="2"/>
    </i>
  </colItems>
  <dataFields count="3">
    <dataField name="Sum of Sales" fld="6" baseField="0" baseItem="0" numFmtId="164"/>
    <dataField name="Sum of Profit" fld="7" baseField="0" baseItem="0" numFmtId="164"/>
    <dataField name="Average of Profit Margin (%)" fld="8" subtotal="average" baseField="0" baseItem="1"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20EE0A-975D-4531-A997-1982348B9A4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Seller" colHeaderCaption="Seller">
  <location ref="A35:D42" firstHeaderRow="0" firstDataRow="1" firstDataCol="1"/>
  <pivotFields count="12">
    <pivotField showAll="0">
      <items count="13">
        <item x="6"/>
        <item x="4"/>
        <item x="5"/>
        <item x="8"/>
        <item x="0"/>
        <item x="2"/>
        <item x="7"/>
        <item x="9"/>
        <item x="11"/>
        <item x="10"/>
        <item x="1"/>
        <item x="3"/>
        <item t="default"/>
      </items>
    </pivotField>
    <pivotField showAll="0"/>
    <pivotField axis="axisRow"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dataField="1"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1">
    <field x="2"/>
  </rowFields>
  <rowItems count="7">
    <i>
      <x/>
    </i>
    <i>
      <x v="1"/>
    </i>
    <i>
      <x v="2"/>
    </i>
    <i>
      <x v="3"/>
    </i>
    <i>
      <x v="4"/>
    </i>
    <i>
      <x v="5"/>
    </i>
    <i>
      <x v="6"/>
    </i>
  </rowItems>
  <colFields count="1">
    <field x="-2"/>
  </colFields>
  <colItems count="3">
    <i>
      <x/>
    </i>
    <i i="1">
      <x v="1"/>
    </i>
    <i i="2">
      <x v="2"/>
    </i>
  </colItems>
  <dataFields count="3">
    <dataField name="Sum of Sales" fld="6" baseField="0" baseItem="0" numFmtId="164"/>
    <dataField name="Sum of Profit" fld="7" baseField="0" baseItem="0" numFmtId="164"/>
    <dataField name="Average of Profit Margin (%)" fld="8" subtotal="average" baseField="2" baseItem="2"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423BC5C-1C3F-44C2-8A84-CEB5E1502FD0}"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Month" colHeaderCaption="Seller">
  <location ref="A7:D19" firstHeaderRow="0" firstDataRow="1" firstDataCol="1"/>
  <pivotFields count="12">
    <pivotField axis="axisRow"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dataField="1"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12">
    <i>
      <x/>
    </i>
    <i>
      <x v="1"/>
    </i>
    <i>
      <x v="2"/>
    </i>
    <i>
      <x v="3"/>
    </i>
    <i>
      <x v="4"/>
    </i>
    <i>
      <x v="5"/>
    </i>
    <i>
      <x v="6"/>
    </i>
    <i>
      <x v="7"/>
    </i>
    <i>
      <x v="8"/>
    </i>
    <i>
      <x v="9"/>
    </i>
    <i>
      <x v="10"/>
    </i>
    <i>
      <x v="11"/>
    </i>
  </rowItems>
  <colFields count="1">
    <field x="-2"/>
  </colFields>
  <colItems count="3">
    <i>
      <x/>
    </i>
    <i i="1">
      <x v="1"/>
    </i>
    <i i="2">
      <x v="2"/>
    </i>
  </colItems>
  <dataFields count="3">
    <dataField name="Sum of Sales" fld="6" baseField="0" baseItem="0" numFmtId="164"/>
    <dataField name="Sum of Profit" fld="7" baseField="0" baseItem="0" numFmtId="164"/>
    <dataField name="Average of Profit Margin (%)" fld="8" subtotal="average" baseField="0" baseItem="7"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A6C30B-5050-4C64-B35C-448A89771709}"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State" colHeaderCaption="Seller">
  <location ref="A24:D30" firstHeaderRow="0" firstDataRow="1" firstDataCol="1"/>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axis="axisRow" showAll="0">
      <items count="7">
        <item x="0"/>
        <item x="3"/>
        <item x="4"/>
        <item x="2"/>
        <item x="5"/>
        <item x="1"/>
        <item t="default"/>
      </items>
    </pivotField>
    <pivotField dataField="1" numFmtId="164" showAll="0"/>
    <pivotField dataField="1"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1"/>
    </i>
    <i>
      <x v="2"/>
    </i>
    <i>
      <x v="3"/>
    </i>
    <i>
      <x v="4"/>
    </i>
    <i>
      <x v="5"/>
    </i>
  </rowItems>
  <colFields count="1">
    <field x="-2"/>
  </colFields>
  <colItems count="3">
    <i>
      <x/>
    </i>
    <i i="1">
      <x v="1"/>
    </i>
    <i i="2">
      <x v="2"/>
    </i>
  </colItems>
  <dataFields count="3">
    <dataField name="Sum of Sales" fld="6" baseField="0" baseItem="0" numFmtId="164"/>
    <dataField name="Sum of Profit" fld="7" baseField="0" baseItem="0" numFmtId="164"/>
    <dataField name="Average of Profit Margin (%)" fld="8" subtotal="average" baseField="5" baseItem="3"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33E60D-0143-4F48-9EE2-9C5D31FAA5A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Seller" colHeaderCaption="Seller">
  <location ref="A57:D77" firstHeaderRow="0" firstDataRow="1" firstDataCol="1"/>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dataField="1"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20">
    <i>
      <x/>
    </i>
    <i>
      <x v="1"/>
    </i>
    <i>
      <x v="2"/>
    </i>
    <i>
      <x v="3"/>
    </i>
    <i>
      <x v="4"/>
    </i>
    <i>
      <x v="5"/>
    </i>
    <i>
      <x v="6"/>
    </i>
    <i>
      <x v="7"/>
    </i>
    <i>
      <x v="8"/>
    </i>
    <i>
      <x v="9"/>
    </i>
    <i>
      <x v="10"/>
    </i>
    <i>
      <x v="11"/>
    </i>
    <i>
      <x v="12"/>
    </i>
    <i>
      <x v="13"/>
    </i>
    <i>
      <x v="14"/>
    </i>
    <i>
      <x v="15"/>
    </i>
    <i>
      <x v="16"/>
    </i>
    <i>
      <x v="17"/>
    </i>
    <i>
      <x v="18"/>
    </i>
    <i>
      <x v="19"/>
    </i>
  </rowItems>
  <colFields count="1">
    <field x="-2"/>
  </colFields>
  <colItems count="3">
    <i>
      <x/>
    </i>
    <i i="1">
      <x v="1"/>
    </i>
    <i i="2">
      <x v="2"/>
    </i>
  </colItems>
  <dataFields count="3">
    <dataField name="Sum of Sales" fld="6" baseField="0" baseItem="0" numFmtId="164"/>
    <dataField name="Sum of Profit" fld="7" baseField="0" baseItem="0" numFmtId="164"/>
    <dataField name="Average of Profit Margin (%)" fld="8" subtotal="average" baseField="2" baseItem="2"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FEB862-C898-4565-B32D-F401F5DD072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multipleFieldFilters="0" rowHeaderCaption="Seller" colHeaderCaption="Seller">
  <location ref="A46:D51" firstHeaderRow="0" firstDataRow="1" firstDataCol="1"/>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axis="axisRow"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dataField="1"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x v="4"/>
    </i>
  </rowItems>
  <colFields count="1">
    <field x="-2"/>
  </colFields>
  <colItems count="3">
    <i>
      <x/>
    </i>
    <i i="1">
      <x v="1"/>
    </i>
    <i i="2">
      <x v="2"/>
    </i>
  </colItems>
  <dataFields count="3">
    <dataField name="Sum of Sales" fld="6" baseField="0" baseItem="0" numFmtId="164"/>
    <dataField name="Sum of Profit" fld="7" baseField="0" baseItem="0" numFmtId="164"/>
    <dataField name="Average of Profit Margin (%)" fld="8" subtotal="average" baseField="2" baseItem="2"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C921A9-74C5-44D1-BB61-1B2ECDC6318D}" name="PivotTable19"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Seller">
  <location ref="K65:S92" firstHeaderRow="1" firstDataRow="2" firstDataCol="1"/>
  <pivotFields count="12">
    <pivotField showAll="0">
      <items count="13">
        <item x="6"/>
        <item x="4"/>
        <item x="5"/>
        <item x="8"/>
        <item x="0"/>
        <item x="2"/>
        <item x="7"/>
        <item x="9"/>
        <item x="11"/>
        <item x="10"/>
        <item x="1"/>
        <item x="3"/>
        <item t="default"/>
      </items>
    </pivotField>
    <pivotField showAll="0"/>
    <pivotField axis="axisCol"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numFmtId="164" showAll="0"/>
    <pivotField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2"/>
  </colFields>
  <colItems count="8">
    <i>
      <x/>
    </i>
    <i>
      <x v="1"/>
    </i>
    <i>
      <x v="2"/>
    </i>
    <i>
      <x v="3"/>
    </i>
    <i>
      <x v="4"/>
    </i>
    <i>
      <x v="5"/>
    </i>
    <i>
      <x v="6"/>
    </i>
    <i t="grand">
      <x/>
    </i>
  </colItems>
  <dataFields count="1">
    <dataField name="Average of Profit Margin (%)" fld="8" subtotal="average" baseField="5"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C216A07-3E25-4A05-8CAE-841876725D70}" name="PivotTable15"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tate" colHeaderCaption="Seller">
  <location ref="A15:I23" firstHeaderRow="1" firstDataRow="2" firstDataCol="1"/>
  <pivotFields count="12">
    <pivotField showAll="0">
      <items count="13">
        <item x="6"/>
        <item x="4"/>
        <item x="5"/>
        <item x="8"/>
        <item x="0"/>
        <item x="2"/>
        <item x="7"/>
        <item x="9"/>
        <item x="11"/>
        <item x="10"/>
        <item x="1"/>
        <item x="3"/>
        <item t="default"/>
      </items>
    </pivotField>
    <pivotField showAll="0"/>
    <pivotField axis="axisCol"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axis="axisRow" showAll="0">
      <items count="7">
        <item x="0"/>
        <item x="3"/>
        <item x="4"/>
        <item x="2"/>
        <item x="5"/>
        <item x="1"/>
        <item t="default"/>
      </items>
    </pivotField>
    <pivotField numFmtId="164" showAll="0"/>
    <pivotField dataField="1"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2"/>
  </colFields>
  <colItems count="8">
    <i>
      <x/>
    </i>
    <i>
      <x v="1"/>
    </i>
    <i>
      <x v="2"/>
    </i>
    <i>
      <x v="3"/>
    </i>
    <i>
      <x v="4"/>
    </i>
    <i>
      <x v="5"/>
    </i>
    <i>
      <x v="6"/>
    </i>
    <i t="grand">
      <x/>
    </i>
  </colItems>
  <dataFields count="1">
    <dataField name="Sum of Profi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0BD5554-CB0C-4887-A816-084EA0924E6B}" name="PivotTable23"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Seller">
  <location ref="AE3:AM30" firstHeaderRow="1" firstDataRow="2" firstDataCol="1"/>
  <pivotFields count="12">
    <pivotField showAll="0">
      <items count="13">
        <item x="6"/>
        <item x="4"/>
        <item x="5"/>
        <item x="8"/>
        <item x="0"/>
        <item x="2"/>
        <item x="7"/>
        <item x="9"/>
        <item x="11"/>
        <item x="10"/>
        <item x="1"/>
        <item x="3"/>
        <item t="default"/>
      </items>
    </pivotField>
    <pivotField showAll="0"/>
    <pivotField axis="axisCol"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2"/>
  </colFields>
  <colItems count="8">
    <i>
      <x/>
    </i>
    <i>
      <x v="1"/>
    </i>
    <i>
      <x v="2"/>
    </i>
    <i>
      <x v="3"/>
    </i>
    <i>
      <x v="4"/>
    </i>
    <i>
      <x v="5"/>
    </i>
    <i>
      <x v="6"/>
    </i>
    <i t="grand">
      <x/>
    </i>
  </colItems>
  <dataFields count="1">
    <dataField name="Count of Sales" fld="6"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64E4686-E926-4068-A606-19554E4E28BD}" name="PivotTable20"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Month" colHeaderCaption="Seller">
  <location ref="U39:AC46" firstHeaderRow="1" firstDataRow="2" firstDataCol="1"/>
  <pivotFields count="12">
    <pivotField showAll="0">
      <items count="13">
        <item x="6"/>
        <item x="4"/>
        <item x="5"/>
        <item x="8"/>
        <item x="0"/>
        <item x="2"/>
        <item x="7"/>
        <item x="9"/>
        <item x="11"/>
        <item x="10"/>
        <item x="1"/>
        <item x="3"/>
        <item t="default"/>
      </items>
    </pivotField>
    <pivotField showAll="0"/>
    <pivotField axis="axisCol" showAll="0">
      <items count="8">
        <item x="5"/>
        <item x="3"/>
        <item x="4"/>
        <item x="0"/>
        <item x="2"/>
        <item x="1"/>
        <item x="6"/>
        <item t="default"/>
      </items>
    </pivotField>
    <pivotField axis="axisRow"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numFmtId="164" showAll="0"/>
    <pivotField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2"/>
  </colFields>
  <colItems count="8">
    <i>
      <x/>
    </i>
    <i>
      <x v="1"/>
    </i>
    <i>
      <x v="2"/>
    </i>
    <i>
      <x v="3"/>
    </i>
    <i>
      <x v="4"/>
    </i>
    <i>
      <x v="5"/>
    </i>
    <i>
      <x v="6"/>
    </i>
    <i t="grand">
      <x/>
    </i>
  </colItems>
  <dataFields count="1">
    <dataField name="Average of Profit Margin (%)" fld="8" subtotal="average" baseField="5"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E99E26A-94CB-4789-B3CD-2F2A949D2318}" name="PivotTable18"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Seller">
  <location ref="K34:S61" firstHeaderRow="1" firstDataRow="2" firstDataCol="1"/>
  <pivotFields count="12">
    <pivotField showAll="0">
      <items count="13">
        <item x="6"/>
        <item x="4"/>
        <item x="5"/>
        <item x="8"/>
        <item x="0"/>
        <item x="2"/>
        <item x="7"/>
        <item x="9"/>
        <item x="11"/>
        <item x="10"/>
        <item x="1"/>
        <item x="3"/>
        <item t="default"/>
      </items>
    </pivotField>
    <pivotField showAll="0"/>
    <pivotField axis="axisCol"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numFmtId="164" showAll="0"/>
    <pivotField dataField="1"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2"/>
  </colFields>
  <colItems count="8">
    <i>
      <x/>
    </i>
    <i>
      <x v="1"/>
    </i>
    <i>
      <x v="2"/>
    </i>
    <i>
      <x v="3"/>
    </i>
    <i>
      <x v="4"/>
    </i>
    <i>
      <x v="5"/>
    </i>
    <i>
      <x v="6"/>
    </i>
    <i t="grand">
      <x/>
    </i>
  </colItems>
  <dataFields count="1">
    <dataField name="Sum of Profi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62040B7-CAE8-4D07-BF82-8A514DAFA7F2}" name="PivotTable27"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tate" colHeaderCaption="Seller">
  <location ref="AE52:AM60" firstHeaderRow="1" firstDataRow="2" firstDataCol="1"/>
  <pivotFields count="12">
    <pivotField showAll="0">
      <items count="13">
        <item x="6"/>
        <item x="4"/>
        <item x="5"/>
        <item x="8"/>
        <item x="0"/>
        <item x="2"/>
        <item x="7"/>
        <item x="9"/>
        <item x="11"/>
        <item x="10"/>
        <item x="1"/>
        <item x="3"/>
        <item t="default"/>
      </items>
    </pivotField>
    <pivotField showAll="0"/>
    <pivotField axis="axisCol"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axis="axisRow"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2"/>
  </colFields>
  <colItems count="8">
    <i>
      <x/>
    </i>
    <i>
      <x v="1"/>
    </i>
    <i>
      <x v="2"/>
    </i>
    <i>
      <x v="3"/>
    </i>
    <i>
      <x v="4"/>
    </i>
    <i>
      <x v="5"/>
    </i>
    <i>
      <x v="6"/>
    </i>
    <i t="grand">
      <x/>
    </i>
  </colItems>
  <dataFields count="1">
    <dataField name="Count of Sales" fld="6"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3D6B2C9-B5E1-4D96-9518-61120D3A8EB5}" name="PivotTable22"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Month" colHeaderCaption="Seller">
  <location ref="U3:AC17" firstHeaderRow="1" firstDataRow="2" firstDataCol="1"/>
  <pivotFields count="12">
    <pivotField axis="axisRow" showAll="0">
      <items count="13">
        <item x="6"/>
        <item x="4"/>
        <item x="5"/>
        <item x="8"/>
        <item x="0"/>
        <item x="2"/>
        <item x="7"/>
        <item x="9"/>
        <item x="11"/>
        <item x="10"/>
        <item x="1"/>
        <item x="3"/>
        <item t="default"/>
      </items>
    </pivotField>
    <pivotField showAll="0"/>
    <pivotField axis="axisCol"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13">
    <i>
      <x/>
    </i>
    <i>
      <x v="1"/>
    </i>
    <i>
      <x v="2"/>
    </i>
    <i>
      <x v="3"/>
    </i>
    <i>
      <x v="4"/>
    </i>
    <i>
      <x v="5"/>
    </i>
    <i>
      <x v="6"/>
    </i>
    <i>
      <x v="7"/>
    </i>
    <i>
      <x v="8"/>
    </i>
    <i>
      <x v="9"/>
    </i>
    <i>
      <x v="10"/>
    </i>
    <i>
      <x v="11"/>
    </i>
    <i t="grand">
      <x/>
    </i>
  </rowItems>
  <colFields count="1">
    <field x="2"/>
  </colFields>
  <colItems count="8">
    <i>
      <x/>
    </i>
    <i>
      <x v="1"/>
    </i>
    <i>
      <x v="2"/>
    </i>
    <i>
      <x v="3"/>
    </i>
    <i>
      <x v="4"/>
    </i>
    <i>
      <x v="5"/>
    </i>
    <i>
      <x v="6"/>
    </i>
    <i t="grand">
      <x/>
    </i>
  </colItems>
  <dataFields count="1">
    <dataField name="Sum of Sales"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9833B06-A5D9-4E79-88DE-5BE00D7D7DAD}" name="PivotTable16"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tate" colHeaderCaption="Seller">
  <location ref="A27:I35" firstHeaderRow="1" firstDataRow="2" firstDataCol="1"/>
  <pivotFields count="12">
    <pivotField showAll="0">
      <items count="13">
        <item x="6"/>
        <item x="4"/>
        <item x="5"/>
        <item x="8"/>
        <item x="0"/>
        <item x="2"/>
        <item x="7"/>
        <item x="9"/>
        <item x="11"/>
        <item x="10"/>
        <item x="1"/>
        <item x="3"/>
        <item t="default"/>
      </items>
    </pivotField>
    <pivotField showAll="0"/>
    <pivotField axis="axisCol"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axis="axisRow" showAll="0">
      <items count="7">
        <item x="0"/>
        <item x="3"/>
        <item x="4"/>
        <item x="2"/>
        <item x="5"/>
        <item x="1"/>
        <item t="default"/>
      </items>
    </pivotField>
    <pivotField numFmtId="164" showAll="0"/>
    <pivotField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2"/>
  </colFields>
  <colItems count="8">
    <i>
      <x/>
    </i>
    <i>
      <x v="1"/>
    </i>
    <i>
      <x v="2"/>
    </i>
    <i>
      <x v="3"/>
    </i>
    <i>
      <x v="4"/>
    </i>
    <i>
      <x v="5"/>
    </i>
    <i>
      <x v="6"/>
    </i>
    <i t="grand">
      <x/>
    </i>
  </colItems>
  <dataFields count="1">
    <dataField name="Average of Profit Margin (%)" fld="8" subtotal="average" baseField="5" baseItem="0"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8B6A1CE-D3B7-44FC-9A4E-CF9603828D63}" name="PivotTable17"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Seller">
  <location ref="K3:S30" firstHeaderRow="1" firstDataRow="2" firstDataCol="1"/>
  <pivotFields count="12">
    <pivotField showAll="0">
      <items count="13">
        <item x="6"/>
        <item x="4"/>
        <item x="5"/>
        <item x="8"/>
        <item x="0"/>
        <item x="2"/>
        <item x="7"/>
        <item x="9"/>
        <item x="11"/>
        <item x="10"/>
        <item x="1"/>
        <item x="3"/>
        <item t="default"/>
      </items>
    </pivotField>
    <pivotField showAll="0"/>
    <pivotField axis="axisCol"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2"/>
  </colFields>
  <colItems count="8">
    <i>
      <x/>
    </i>
    <i>
      <x v="1"/>
    </i>
    <i>
      <x v="2"/>
    </i>
    <i>
      <x v="3"/>
    </i>
    <i>
      <x v="4"/>
    </i>
    <i>
      <x v="5"/>
    </i>
    <i>
      <x v="6"/>
    </i>
    <i t="grand">
      <x/>
    </i>
  </colItems>
  <dataFields count="1">
    <dataField name="Sum of Sales"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B8C55CF-1143-4DF4-831B-4D92ECBE2346}" name="PivotTable26"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Month" colHeaderCaption="Seller">
  <location ref="AE34:AM48" firstHeaderRow="1" firstDataRow="2" firstDataCol="1"/>
  <pivotFields count="12">
    <pivotField axis="axisRow" showAll="0">
      <items count="13">
        <item x="6"/>
        <item x="4"/>
        <item x="5"/>
        <item x="8"/>
        <item x="0"/>
        <item x="2"/>
        <item x="7"/>
        <item x="9"/>
        <item x="11"/>
        <item x="10"/>
        <item x="1"/>
        <item x="3"/>
        <item t="default"/>
      </items>
    </pivotField>
    <pivotField showAll="0"/>
    <pivotField axis="axisCol"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13">
    <i>
      <x/>
    </i>
    <i>
      <x v="1"/>
    </i>
    <i>
      <x v="2"/>
    </i>
    <i>
      <x v="3"/>
    </i>
    <i>
      <x v="4"/>
    </i>
    <i>
      <x v="5"/>
    </i>
    <i>
      <x v="6"/>
    </i>
    <i>
      <x v="7"/>
    </i>
    <i>
      <x v="8"/>
    </i>
    <i>
      <x v="9"/>
    </i>
    <i>
      <x v="10"/>
    </i>
    <i>
      <x v="11"/>
    </i>
    <i t="grand">
      <x/>
    </i>
  </rowItems>
  <colFields count="1">
    <field x="2"/>
  </colFields>
  <colItems count="8">
    <i>
      <x/>
    </i>
    <i>
      <x v="1"/>
    </i>
    <i>
      <x v="2"/>
    </i>
    <i>
      <x v="3"/>
    </i>
    <i>
      <x v="4"/>
    </i>
    <i>
      <x v="5"/>
    </i>
    <i>
      <x v="6"/>
    </i>
    <i t="grand">
      <x/>
    </i>
  </colItems>
  <dataFields count="1">
    <dataField name="Count of Sales" fld="6"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501BF91-A56B-4992-9334-8540661AEC3B}" name="PivotTable21"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Month" colHeaderCaption="Seller">
  <location ref="U21:AC35" firstHeaderRow="1" firstDataRow="2" firstDataCol="1"/>
  <pivotFields count="12">
    <pivotField axis="axisRow" showAll="0">
      <items count="13">
        <item x="6"/>
        <item x="4"/>
        <item x="5"/>
        <item x="8"/>
        <item x="0"/>
        <item x="2"/>
        <item x="7"/>
        <item x="9"/>
        <item x="11"/>
        <item x="10"/>
        <item x="1"/>
        <item x="3"/>
        <item t="default"/>
      </items>
    </pivotField>
    <pivotField showAll="0"/>
    <pivotField axis="axisCol"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numFmtId="164" showAll="0"/>
    <pivotField dataField="1"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13">
    <i>
      <x/>
    </i>
    <i>
      <x v="1"/>
    </i>
    <i>
      <x v="2"/>
    </i>
    <i>
      <x v="3"/>
    </i>
    <i>
      <x v="4"/>
    </i>
    <i>
      <x v="5"/>
    </i>
    <i>
      <x v="6"/>
    </i>
    <i>
      <x v="7"/>
    </i>
    <i>
      <x v="8"/>
    </i>
    <i>
      <x v="9"/>
    </i>
    <i>
      <x v="10"/>
    </i>
    <i>
      <x v="11"/>
    </i>
    <i t="grand">
      <x/>
    </i>
  </rowItems>
  <colFields count="1">
    <field x="2"/>
  </colFields>
  <colItems count="8">
    <i>
      <x/>
    </i>
    <i>
      <x v="1"/>
    </i>
    <i>
      <x v="2"/>
    </i>
    <i>
      <x v="3"/>
    </i>
    <i>
      <x v="4"/>
    </i>
    <i>
      <x v="5"/>
    </i>
    <i>
      <x v="6"/>
    </i>
    <i t="grand">
      <x/>
    </i>
  </colItems>
  <dataFields count="1">
    <dataField name="Sum of Profi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FE6863AC-479D-4963-822F-D39CF89FCB82}" name="PivotTable14"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tate" colHeaderCaption="Seller">
  <location ref="A3:I11" firstHeaderRow="1" firstDataRow="2" firstDataCol="1"/>
  <pivotFields count="12">
    <pivotField showAll="0">
      <items count="13">
        <item x="6"/>
        <item x="4"/>
        <item x="5"/>
        <item x="8"/>
        <item x="0"/>
        <item x="2"/>
        <item x="7"/>
        <item x="9"/>
        <item x="11"/>
        <item x="10"/>
        <item x="1"/>
        <item x="3"/>
        <item t="default"/>
      </items>
    </pivotField>
    <pivotField showAll="0"/>
    <pivotField axis="axisCol"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axis="axisRow"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2"/>
  </colFields>
  <colItems count="8">
    <i>
      <x/>
    </i>
    <i>
      <x v="1"/>
    </i>
    <i>
      <x v="2"/>
    </i>
    <i>
      <x v="3"/>
    </i>
    <i>
      <x v="4"/>
    </i>
    <i>
      <x v="5"/>
    </i>
    <i>
      <x v="6"/>
    </i>
    <i t="grand">
      <x/>
    </i>
  </colItems>
  <dataFields count="1">
    <dataField name="Sum of Sales"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60F8403-DE58-415B-9A34-4063225CD504}" name="PivotTable17"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Seller">
  <location ref="A3:D29" firstHeaderRow="0" firstDataRow="1" firstDataCol="1"/>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dataField="1"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2"/>
  </colFields>
  <colItems count="3">
    <i>
      <x/>
    </i>
    <i i="1">
      <x v="1"/>
    </i>
    <i i="2">
      <x v="2"/>
    </i>
  </colItems>
  <dataFields count="3">
    <dataField name="Sum of Sales" fld="6" baseField="0" baseItem="0" numFmtId="164"/>
    <dataField name="Sum of Profit" fld="7" baseField="0" baseItem="0" numFmtId="164"/>
    <dataField name="Average of Profit Margin (%)" fld="8" subtotal="average" baseField="4" baseItem="14"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67931FB-595E-4670-A5BB-F8EEEFBFDC78}" name="PivotTable18"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Month">
  <location ref="F3:S30" firstHeaderRow="1" firstDataRow="2" firstDataCol="1"/>
  <pivotFields count="12">
    <pivotField axis="axisCol"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numFmtId="164" showAll="0"/>
    <pivotField dataField="1"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0"/>
  </colFields>
  <colItems count="13">
    <i>
      <x/>
    </i>
    <i>
      <x v="1"/>
    </i>
    <i>
      <x v="2"/>
    </i>
    <i>
      <x v="3"/>
    </i>
    <i>
      <x v="4"/>
    </i>
    <i>
      <x v="5"/>
    </i>
    <i>
      <x v="6"/>
    </i>
    <i>
      <x v="7"/>
    </i>
    <i>
      <x v="8"/>
    </i>
    <i>
      <x v="9"/>
    </i>
    <i>
      <x v="10"/>
    </i>
    <i>
      <x v="11"/>
    </i>
    <i t="grand">
      <x/>
    </i>
  </colItems>
  <dataFields count="1">
    <dataField name="Sum of Profi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C89F3F4-8D52-401F-AC78-A1AF3119BC76}" name="PivotTable23"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Month">
  <location ref="U3:AH30" firstHeaderRow="1" firstDataRow="2" firstDataCol="1"/>
  <pivotFields count="12">
    <pivotField axis="axisCol"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0"/>
  </colFields>
  <colItems count="13">
    <i>
      <x/>
    </i>
    <i>
      <x v="1"/>
    </i>
    <i>
      <x v="2"/>
    </i>
    <i>
      <x v="3"/>
    </i>
    <i>
      <x v="4"/>
    </i>
    <i>
      <x v="5"/>
    </i>
    <i>
      <x v="6"/>
    </i>
    <i>
      <x v="7"/>
    </i>
    <i>
      <x v="8"/>
    </i>
    <i>
      <x v="9"/>
    </i>
    <i>
      <x v="10"/>
    </i>
    <i>
      <x v="11"/>
    </i>
    <i t="grand">
      <x/>
    </i>
  </colItems>
  <dataFields count="1">
    <dataField name="Count of Sales" fld="6"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C57EC24-C309-484C-AF9C-2E3F37AA8F56}" name="PivotTable29"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Month" colHeaderCaption="State">
  <location ref="U35:AB62" firstHeaderRow="1" firstDataRow="2" firstDataCol="1"/>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axis="axisCol"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5"/>
  </colFields>
  <colItems count="7">
    <i>
      <x/>
    </i>
    <i>
      <x v="1"/>
    </i>
    <i>
      <x v="2"/>
    </i>
    <i>
      <x v="3"/>
    </i>
    <i>
      <x v="4"/>
    </i>
    <i>
      <x v="5"/>
    </i>
    <i t="grand">
      <x/>
    </i>
  </colItems>
  <dataFields count="1">
    <dataField name="Count of Sales" fld="6"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BB282CB-CA04-494E-9335-A5385A2D3756}" name="PivotTable25"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Month">
  <location ref="F65:S92" firstHeaderRow="1" firstDataRow="2" firstDataCol="1"/>
  <pivotFields count="12">
    <pivotField axis="axisCol"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numFmtId="164" showAll="0"/>
    <pivotField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0"/>
  </colFields>
  <colItems count="13">
    <i>
      <x/>
    </i>
    <i>
      <x v="1"/>
    </i>
    <i>
      <x v="2"/>
    </i>
    <i>
      <x v="3"/>
    </i>
    <i>
      <x v="4"/>
    </i>
    <i>
      <x v="5"/>
    </i>
    <i>
      <x v="6"/>
    </i>
    <i>
      <x v="7"/>
    </i>
    <i>
      <x v="8"/>
    </i>
    <i>
      <x v="9"/>
    </i>
    <i>
      <x v="10"/>
    </i>
    <i>
      <x v="11"/>
    </i>
    <i t="grand">
      <x/>
    </i>
  </colItems>
  <dataFields count="1">
    <dataField name="Average of Profit Margin (%)" fld="8" subtotal="average" baseField="4" baseItem="6"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EFAFDE3-9A97-4201-8F02-2A996CE3EF2B}" name="PivotTable24"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Month">
  <location ref="F34:S61" firstHeaderRow="1" firstDataRow="2" firstDataCol="1"/>
  <pivotFields count="12">
    <pivotField axis="axisCol"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0"/>
  </colFields>
  <colItems count="13">
    <i>
      <x/>
    </i>
    <i>
      <x v="1"/>
    </i>
    <i>
      <x v="2"/>
    </i>
    <i>
      <x v="3"/>
    </i>
    <i>
      <x v="4"/>
    </i>
    <i>
      <x v="5"/>
    </i>
    <i>
      <x v="6"/>
    </i>
    <i>
      <x v="7"/>
    </i>
    <i>
      <x v="8"/>
    </i>
    <i>
      <x v="9"/>
    </i>
    <i>
      <x v="10"/>
    </i>
    <i>
      <x v="11"/>
    </i>
    <i t="grand">
      <x/>
    </i>
  </colItems>
  <dataFields count="1">
    <dataField name="Sum of Sales"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FDF0493-C19B-41D1-8460-9C857C7D8902}" name="PivotTable30"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State">
  <location ref="U34:AB61" firstHeaderRow="1" firstDataRow="2" firstDataCol="1"/>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axis="axisCol" showAll="0">
      <items count="7">
        <item x="0"/>
        <item x="3"/>
        <item x="4"/>
        <item x="2"/>
        <item x="5"/>
        <item x="1"/>
        <item t="default"/>
      </items>
    </pivotField>
    <pivotField numFmtId="164" showAll="0"/>
    <pivotField dataField="1"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5"/>
  </colFields>
  <colItems count="7">
    <i>
      <x/>
    </i>
    <i>
      <x v="1"/>
    </i>
    <i>
      <x v="2"/>
    </i>
    <i>
      <x v="3"/>
    </i>
    <i>
      <x v="4"/>
    </i>
    <i>
      <x v="5"/>
    </i>
    <i t="grand">
      <x/>
    </i>
  </colItems>
  <dataFields count="1">
    <dataField name="Sum of Profi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960BD28B-3338-496F-B040-1D27F083BEA8}" name="PivotTable22"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State">
  <location ref="U3:AB30" firstHeaderRow="1" firstDataRow="2" firstDataCol="1"/>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axis="axisCol"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5"/>
  </colFields>
  <colItems count="7">
    <i>
      <x/>
    </i>
    <i>
      <x v="1"/>
    </i>
    <i>
      <x v="2"/>
    </i>
    <i>
      <x v="3"/>
    </i>
    <i>
      <x v="4"/>
    </i>
    <i>
      <x v="5"/>
    </i>
    <i t="grand">
      <x/>
    </i>
  </colItems>
  <dataFields count="1">
    <dataField name="Sum of Sales"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F06A6F3-2C92-4FAA-9E3E-C47097F5F141}" name="PivotTable1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rowHeaderCaption="State" colHeaderCaption="Seller">
  <location ref="A3:D10" firstHeaderRow="0" firstDataRow="1" firstDataCol="1"/>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axis="axisRow" showAll="0">
      <items count="7">
        <item x="0"/>
        <item x="3"/>
        <item x="4"/>
        <item x="2"/>
        <item x="5"/>
        <item x="1"/>
        <item t="default"/>
      </items>
    </pivotField>
    <pivotField dataField="1" numFmtId="164" showAll="0"/>
    <pivotField dataField="1"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2"/>
  </colFields>
  <colItems count="3">
    <i>
      <x/>
    </i>
    <i i="1">
      <x v="1"/>
    </i>
    <i i="2">
      <x v="2"/>
    </i>
  </colItems>
  <dataFields count="3">
    <dataField name="Sum of Sales" fld="6" baseField="0" baseItem="0" numFmtId="164"/>
    <dataField name="Sum of Profit" fld="7" baseField="0" baseItem="0" numFmtId="164"/>
    <dataField name="Average of Profit Margin (%)" fld="8" subtotal="average" baseField="5" baseItem="0" numFmtId="43"/>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C49B5333-1152-44F5-BA2C-B014ABE17BFE}" name="PivotTable18"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tate" colHeaderCaption="Month">
  <location ref="F15:S23" firstHeaderRow="1" firstDataRow="2" firstDataCol="1"/>
  <pivotFields count="12">
    <pivotField axis="axisCol"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axis="axisRow" showAll="0">
      <items count="7">
        <item x="0"/>
        <item x="3"/>
        <item x="4"/>
        <item x="2"/>
        <item x="5"/>
        <item x="1"/>
        <item t="default"/>
      </items>
    </pivotField>
    <pivotField numFmtId="164" showAll="0"/>
    <pivotField dataField="1"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0"/>
  </colFields>
  <colItems count="13">
    <i>
      <x/>
    </i>
    <i>
      <x v="1"/>
    </i>
    <i>
      <x v="2"/>
    </i>
    <i>
      <x v="3"/>
    </i>
    <i>
      <x v="4"/>
    </i>
    <i>
      <x v="5"/>
    </i>
    <i>
      <x v="6"/>
    </i>
    <i>
      <x v="7"/>
    </i>
    <i>
      <x v="8"/>
    </i>
    <i>
      <x v="9"/>
    </i>
    <i>
      <x v="10"/>
    </i>
    <i>
      <x v="11"/>
    </i>
    <i t="grand">
      <x/>
    </i>
  </colItems>
  <dataFields count="1">
    <dataField name="Sum of Profi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58CE9A45-4278-4F2F-8197-BAA3590AEDBF}" name="PivotTable19"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tate" colHeaderCaption="Month">
  <location ref="F27:S35" firstHeaderRow="1" firstDataRow="2" firstDataCol="1"/>
  <pivotFields count="12">
    <pivotField axis="axisCol"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v="1"/>
    </i>
    <i>
      <x v="5"/>
    </i>
    <i>
      <x/>
    </i>
    <i>
      <x v="3"/>
    </i>
    <i>
      <x v="4"/>
    </i>
    <i>
      <x v="2"/>
    </i>
    <i t="grand">
      <x/>
    </i>
  </rowItems>
  <colFields count="1">
    <field x="0"/>
  </colFields>
  <colItems count="13">
    <i>
      <x/>
    </i>
    <i>
      <x v="1"/>
    </i>
    <i>
      <x v="2"/>
    </i>
    <i>
      <x v="3"/>
    </i>
    <i>
      <x v="4"/>
    </i>
    <i>
      <x v="5"/>
    </i>
    <i>
      <x v="6"/>
    </i>
    <i>
      <x v="7"/>
    </i>
    <i>
      <x v="8"/>
    </i>
    <i>
      <x v="9"/>
    </i>
    <i>
      <x v="10"/>
    </i>
    <i>
      <x v="11"/>
    </i>
    <i t="grand">
      <x/>
    </i>
  </colItems>
  <dataFields count="1">
    <dataField name="Average of Profit Margin (%)" fld="8" subtotal="average" baseField="5" baseItem="0" numFmtId="43"/>
  </dataFields>
  <conditionalFormats count="1">
    <conditionalFormat priority="1">
      <pivotAreas count="1">
        <pivotArea type="all" outline="0"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576337BA-5E19-429A-BEAC-77A1FF3D0D33}" name="PivotTable23"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tate" colHeaderCaption="Month">
  <location ref="AE3:AR11" firstHeaderRow="1" firstDataRow="2" firstDataCol="1"/>
  <pivotFields count="12">
    <pivotField axis="axisCol"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axis="axisRow"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0"/>
  </colFields>
  <colItems count="13">
    <i>
      <x/>
    </i>
    <i>
      <x v="1"/>
    </i>
    <i>
      <x v="2"/>
    </i>
    <i>
      <x v="3"/>
    </i>
    <i>
      <x v="4"/>
    </i>
    <i>
      <x v="5"/>
    </i>
    <i>
      <x v="6"/>
    </i>
    <i>
      <x v="7"/>
    </i>
    <i>
      <x v="8"/>
    </i>
    <i>
      <x v="9"/>
    </i>
    <i>
      <x v="10"/>
    </i>
    <i>
      <x v="11"/>
    </i>
    <i t="grand">
      <x/>
    </i>
  </colItems>
  <dataFields count="1">
    <dataField name="Count of Sales" fld="6"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DE282716-F508-40D7-B4A8-622C833227E1}" name="PivotTable31"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Category, Product" colHeaderCaption="State">
  <location ref="U65:AB92" firstHeaderRow="1" firstDataRow="2" firstDataCol="1"/>
  <pivotFields count="12">
    <pivotField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axis="axisRow" showAll="0">
      <items count="6">
        <item x="1"/>
        <item x="0"/>
        <item x="3"/>
        <item x="4"/>
        <item x="2"/>
        <item t="default"/>
      </items>
    </pivotField>
    <pivotField axis="axisRow" showAll="0">
      <items count="21">
        <item x="6"/>
        <item x="15"/>
        <item x="18"/>
        <item x="10"/>
        <item x="8"/>
        <item x="13"/>
        <item x="4"/>
        <item x="1"/>
        <item x="5"/>
        <item x="17"/>
        <item x="7"/>
        <item x="14"/>
        <item x="0"/>
        <item x="3"/>
        <item x="12"/>
        <item x="11"/>
        <item x="19"/>
        <item x="16"/>
        <item x="9"/>
        <item x="2"/>
        <item t="default"/>
      </items>
    </pivotField>
    <pivotField axis="axisCol" showAll="0">
      <items count="7">
        <item x="0"/>
        <item x="3"/>
        <item x="4"/>
        <item x="2"/>
        <item x="5"/>
        <item x="1"/>
        <item t="default"/>
      </items>
    </pivotField>
    <pivotField numFmtId="164" showAll="0"/>
    <pivotField numFmtId="164" showAll="0"/>
    <pivotField dataField="1" numFmtId="43" showAll="0"/>
    <pivotField dragToRow="0" dragToCol="0" dragToPage="0" showAll="0" defaultSubtotal="0"/>
    <pivotField dragToRow="0" dragToCol="0" dragToPage="0" showAll="0" defaultSubtotal="0"/>
    <pivotField dragToRow="0" dragToCol="0" dragToPage="0" showAll="0" defaultSubtotal="0"/>
  </pivotFields>
  <rowFields count="2">
    <field x="3"/>
    <field x="4"/>
  </rowFields>
  <rowItems count="26">
    <i>
      <x/>
    </i>
    <i r="1">
      <x v="6"/>
    </i>
    <i r="1">
      <x v="7"/>
    </i>
    <i r="1">
      <x v="14"/>
    </i>
    <i r="1">
      <x v="18"/>
    </i>
    <i>
      <x v="1"/>
    </i>
    <i r="1">
      <x v="1"/>
    </i>
    <i r="1">
      <x v="5"/>
    </i>
    <i r="1">
      <x v="9"/>
    </i>
    <i r="1">
      <x v="12"/>
    </i>
    <i>
      <x v="2"/>
    </i>
    <i r="1">
      <x v="2"/>
    </i>
    <i r="1">
      <x v="8"/>
    </i>
    <i r="1">
      <x v="13"/>
    </i>
    <i r="1">
      <x v="15"/>
    </i>
    <i>
      <x v="3"/>
    </i>
    <i r="1">
      <x v="3"/>
    </i>
    <i r="1">
      <x v="10"/>
    </i>
    <i r="1">
      <x v="11"/>
    </i>
    <i r="1">
      <x v="16"/>
    </i>
    <i>
      <x v="4"/>
    </i>
    <i r="1">
      <x/>
    </i>
    <i r="1">
      <x v="4"/>
    </i>
    <i r="1">
      <x v="17"/>
    </i>
    <i r="1">
      <x v="19"/>
    </i>
    <i t="grand">
      <x/>
    </i>
  </rowItems>
  <colFields count="1">
    <field x="5"/>
  </colFields>
  <colItems count="7">
    <i>
      <x/>
    </i>
    <i>
      <x v="1"/>
    </i>
    <i>
      <x v="2"/>
    </i>
    <i>
      <x v="3"/>
    </i>
    <i>
      <x v="4"/>
    </i>
    <i>
      <x v="5"/>
    </i>
    <i t="grand">
      <x/>
    </i>
  </colItems>
  <dataFields count="1">
    <dataField name="Average of Profit Margin (%)" fld="8" subtotal="average" baseField="3" baseItem="1" numFmtId="4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7D8323A9-CAA0-451E-8198-C0D19202EF93}" name="PivotTable17"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State" colHeaderCaption="Month">
  <location ref="F3:S11" firstHeaderRow="1" firstDataRow="2" firstDataCol="1"/>
  <pivotFields count="12">
    <pivotField axis="axisCol" showAll="0">
      <items count="13">
        <item x="6"/>
        <item x="4"/>
        <item x="5"/>
        <item x="8"/>
        <item x="0"/>
        <item x="2"/>
        <item x="7"/>
        <item x="9"/>
        <item x="11"/>
        <item x="10"/>
        <item x="1"/>
        <item x="3"/>
        <item t="default"/>
      </items>
    </pivotField>
    <pivotField showAll="0"/>
    <pivotField showAll="0">
      <items count="8">
        <item x="5"/>
        <item x="3"/>
        <item x="4"/>
        <item x="0"/>
        <item x="2"/>
        <item x="1"/>
        <item x="6"/>
        <item t="default"/>
      </items>
    </pivotField>
    <pivotField showAll="0">
      <items count="6">
        <item x="1"/>
        <item x="0"/>
        <item x="3"/>
        <item x="4"/>
        <item x="2"/>
        <item t="default"/>
      </items>
    </pivotField>
    <pivotField showAll="0">
      <items count="21">
        <item x="6"/>
        <item x="15"/>
        <item x="18"/>
        <item x="10"/>
        <item x="8"/>
        <item x="13"/>
        <item x="4"/>
        <item x="1"/>
        <item x="5"/>
        <item x="17"/>
        <item x="7"/>
        <item x="14"/>
        <item x="0"/>
        <item x="3"/>
        <item x="12"/>
        <item x="11"/>
        <item x="19"/>
        <item x="16"/>
        <item x="9"/>
        <item x="2"/>
        <item t="default"/>
      </items>
    </pivotField>
    <pivotField axis="axisRow" showAll="0">
      <items count="7">
        <item x="0"/>
        <item x="3"/>
        <item x="4"/>
        <item x="2"/>
        <item x="5"/>
        <item x="1"/>
        <item t="default"/>
      </items>
    </pivotField>
    <pivotField dataField="1" numFmtId="164" showAll="0"/>
    <pivotField numFmtId="164" showAll="0"/>
    <pivotField numFmtId="43"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7">
    <i>
      <x/>
    </i>
    <i>
      <x v="1"/>
    </i>
    <i>
      <x v="2"/>
    </i>
    <i>
      <x v="3"/>
    </i>
    <i>
      <x v="4"/>
    </i>
    <i>
      <x v="5"/>
    </i>
    <i t="grand">
      <x/>
    </i>
  </rowItems>
  <colFields count="1">
    <field x="0"/>
  </colFields>
  <colItems count="13">
    <i>
      <x/>
    </i>
    <i>
      <x v="1"/>
    </i>
    <i>
      <x v="2"/>
    </i>
    <i>
      <x v="3"/>
    </i>
    <i>
      <x v="4"/>
    </i>
    <i>
      <x v="5"/>
    </i>
    <i>
      <x v="6"/>
    </i>
    <i>
      <x v="7"/>
    </i>
    <i>
      <x v="8"/>
    </i>
    <i>
      <x v="9"/>
    </i>
    <i>
      <x v="10"/>
    </i>
    <i>
      <x v="11"/>
    </i>
    <i t="grand">
      <x/>
    </i>
  </colItems>
  <dataFields count="1">
    <dataField name="Sum of Sales" fld="6"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AB67AEF-2944-4E04-BE38-8853981F81E0}" sourceName="Month">
  <pivotTables>
    <pivotTable tabId="9" name="PivotTable17"/>
    <pivotTable tabId="7" name="PivotTable17"/>
    <pivotTable tabId="7" name="PivotTable18"/>
    <pivotTable tabId="7" name="PivotTable23"/>
    <pivotTable tabId="7" name="PivotTable24"/>
    <pivotTable tabId="7" name="PivotTable25"/>
    <pivotTable tabId="7" name="PivotTable29"/>
    <pivotTable tabId="9" name="PivotTable1"/>
    <pivotTable tabId="9" name="PivotTable14"/>
    <pivotTable tabId="9" name="PivotTable15"/>
    <pivotTable tabId="9" name="PivotTable16"/>
    <pivotTable tabId="9" name="PivotTable2"/>
    <pivotTable tabId="9" name="PivotTable23"/>
    <pivotTable tabId="9" name="PivotTable26"/>
    <pivotTable tabId="9" name="PivotTable27"/>
    <pivotTable tabId="9" name="PivotTable4"/>
    <pivotTable tabId="6" name="PivotTable14"/>
    <pivotTable tabId="6" name="PivotTable15"/>
    <pivotTable tabId="6" name="PivotTable16"/>
    <pivotTable tabId="6" name="PivotTable17"/>
    <pivotTable tabId="6" name="PivotTable18"/>
    <pivotTable tabId="6" name="PivotTable19"/>
    <pivotTable tabId="6" name="PivotTable20"/>
    <pivotTable tabId="6" name="PivotTable21"/>
    <pivotTable tabId="6" name="PivotTable22"/>
    <pivotTable tabId="6" name="PivotTable23"/>
    <pivotTable tabId="6" name="PivotTable26"/>
    <pivotTable tabId="6" name="PivotTable27"/>
    <pivotTable tabId="8" name="PivotTable14"/>
    <pivotTable tabId="8" name="PivotTable17"/>
    <pivotTable tabId="8" name="PivotTable18"/>
    <pivotTable tabId="8" name="PivotTable19"/>
    <pivotTable tabId="8" name="PivotTable22"/>
    <pivotTable tabId="8" name="PivotTable23"/>
    <pivotTable tabId="8" name="PivotTable30"/>
    <pivotTable tabId="9" name="PivotTable5"/>
    <pivotTable tabId="9" name="PivotTable6"/>
    <pivotTable tabId="8" name="PivotTable31"/>
  </pivotTables>
  <data>
    <tabular pivotCacheId="1659865123">
      <items count="12">
        <i x="6" s="1"/>
        <i x="4" s="1"/>
        <i x="5" s="1"/>
        <i x="8" s="1"/>
        <i x="0" s="1"/>
        <i x="2" s="1"/>
        <i x="7" s="1"/>
        <i x="9" s="1"/>
        <i x="11" s="1"/>
        <i x="1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 xr10:uid="{3AF2D2AD-A964-431C-B372-202045AE20DB}" sourceName="Seller">
  <pivotTables>
    <pivotTable tabId="9" name="PivotTable15"/>
    <pivotTable tabId="7" name="PivotTable17"/>
    <pivotTable tabId="7" name="PivotTable18"/>
    <pivotTable tabId="7" name="PivotTable23"/>
    <pivotTable tabId="7" name="PivotTable24"/>
    <pivotTable tabId="7" name="PivotTable25"/>
    <pivotTable tabId="7" name="PivotTable29"/>
    <pivotTable tabId="9" name="PivotTable1"/>
    <pivotTable tabId="9" name="PivotTable14"/>
    <pivotTable tabId="9" name="PivotTable16"/>
    <pivotTable tabId="9" name="PivotTable17"/>
    <pivotTable tabId="9" name="PivotTable2"/>
    <pivotTable tabId="9" name="PivotTable23"/>
    <pivotTable tabId="9" name="PivotTable26"/>
    <pivotTable tabId="9" name="PivotTable27"/>
    <pivotTable tabId="9" name="PivotTable4"/>
    <pivotTable tabId="9" name="PivotTable5"/>
    <pivotTable tabId="9" name="PivotTable6"/>
    <pivotTable tabId="6" name="PivotTable14"/>
    <pivotTable tabId="6" name="PivotTable15"/>
    <pivotTable tabId="6" name="PivotTable16"/>
    <pivotTable tabId="6" name="PivotTable17"/>
    <pivotTable tabId="6" name="PivotTable18"/>
    <pivotTable tabId="6" name="PivotTable19"/>
    <pivotTable tabId="6" name="PivotTable20"/>
    <pivotTable tabId="6" name="PivotTable21"/>
    <pivotTable tabId="6" name="PivotTable22"/>
    <pivotTable tabId="6" name="PivotTable23"/>
    <pivotTable tabId="6" name="PivotTable26"/>
    <pivotTable tabId="6" name="PivotTable27"/>
    <pivotTable tabId="8" name="PivotTable14"/>
    <pivotTable tabId="8" name="PivotTable17"/>
    <pivotTable tabId="8" name="PivotTable18"/>
    <pivotTable tabId="8" name="PivotTable19"/>
    <pivotTable tabId="8" name="PivotTable22"/>
    <pivotTable tabId="8" name="PivotTable23"/>
    <pivotTable tabId="8" name="PivotTable30"/>
    <pivotTable tabId="8" name="PivotTable31"/>
  </pivotTables>
  <data>
    <tabular pivotCacheId="1659865123">
      <items count="7">
        <i x="5" s="1"/>
        <i x="3" s="1"/>
        <i x="4" s="1"/>
        <i x="0" s="1"/>
        <i x="2"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0962F12-4BC3-41DD-BCB1-73DDC6450D1A}" sourceName="Category">
  <pivotTables>
    <pivotTable tabId="9" name="PivotTable17"/>
    <pivotTable tabId="7" name="PivotTable17"/>
    <pivotTable tabId="7" name="PivotTable18"/>
    <pivotTable tabId="7" name="PivotTable23"/>
    <pivotTable tabId="7" name="PivotTable24"/>
    <pivotTable tabId="7" name="PivotTable25"/>
    <pivotTable tabId="7" name="PivotTable29"/>
    <pivotTable tabId="9" name="PivotTable1"/>
    <pivotTable tabId="9" name="PivotTable14"/>
    <pivotTable tabId="9" name="PivotTable15"/>
    <pivotTable tabId="9" name="PivotTable16"/>
    <pivotTable tabId="9" name="PivotTable2"/>
    <pivotTable tabId="9" name="PivotTable23"/>
    <pivotTable tabId="9" name="PivotTable26"/>
    <pivotTable tabId="9" name="PivotTable27"/>
    <pivotTable tabId="9" name="PivotTable4"/>
    <pivotTable tabId="9" name="PivotTable5"/>
    <pivotTable tabId="9" name="PivotTable6"/>
    <pivotTable tabId="6" name="PivotTable14"/>
    <pivotTable tabId="6" name="PivotTable15"/>
    <pivotTable tabId="6" name="PivotTable16"/>
    <pivotTable tabId="6" name="PivotTable17"/>
    <pivotTable tabId="6" name="PivotTable18"/>
    <pivotTable tabId="6" name="PivotTable19"/>
    <pivotTable tabId="6" name="PivotTable20"/>
    <pivotTable tabId="6" name="PivotTable21"/>
    <pivotTable tabId="6" name="PivotTable22"/>
    <pivotTable tabId="6" name="PivotTable23"/>
    <pivotTable tabId="6" name="PivotTable26"/>
    <pivotTable tabId="6" name="PivotTable27"/>
    <pivotTable tabId="8" name="PivotTable14"/>
    <pivotTable tabId="8" name="PivotTable17"/>
    <pivotTable tabId="8" name="PivotTable18"/>
    <pivotTable tabId="8" name="PivotTable19"/>
    <pivotTable tabId="8" name="PivotTable22"/>
    <pivotTable tabId="8" name="PivotTable23"/>
    <pivotTable tabId="8" name="PivotTable30"/>
    <pivotTable tabId="8" name="PivotTable31"/>
  </pivotTables>
  <data>
    <tabular pivotCacheId="1659865123">
      <items count="5">
        <i x="1" s="1"/>
        <i x="0" s="1"/>
        <i x="3"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08B1446-9DF1-498F-BC85-4E12E1BBE4B1}" sourceName="Product">
  <pivotTables>
    <pivotTable tabId="9" name="PivotTable17"/>
    <pivotTable tabId="7" name="PivotTable17"/>
    <pivotTable tabId="7" name="PivotTable18"/>
    <pivotTable tabId="7" name="PivotTable23"/>
    <pivotTable tabId="7" name="PivotTable24"/>
    <pivotTable tabId="7" name="PivotTable25"/>
    <pivotTable tabId="7" name="PivotTable29"/>
    <pivotTable tabId="9" name="PivotTable1"/>
    <pivotTable tabId="9" name="PivotTable14"/>
    <pivotTable tabId="9" name="PivotTable15"/>
    <pivotTable tabId="9" name="PivotTable16"/>
    <pivotTable tabId="9" name="PivotTable2"/>
    <pivotTable tabId="9" name="PivotTable23"/>
    <pivotTable tabId="9" name="PivotTable26"/>
    <pivotTable tabId="9" name="PivotTable27"/>
    <pivotTable tabId="9" name="PivotTable4"/>
    <pivotTable tabId="9" name="PivotTable5"/>
    <pivotTable tabId="9" name="PivotTable6"/>
    <pivotTable tabId="6" name="PivotTable14"/>
    <pivotTable tabId="6" name="PivotTable15"/>
    <pivotTable tabId="6" name="PivotTable16"/>
    <pivotTable tabId="6" name="PivotTable17"/>
    <pivotTable tabId="6" name="PivotTable18"/>
    <pivotTable tabId="6" name="PivotTable19"/>
    <pivotTable tabId="6" name="PivotTable20"/>
    <pivotTable tabId="6" name="PivotTable21"/>
    <pivotTable tabId="6" name="PivotTable22"/>
    <pivotTable tabId="6" name="PivotTable23"/>
    <pivotTable tabId="6" name="PivotTable26"/>
    <pivotTable tabId="6" name="PivotTable27"/>
    <pivotTable tabId="8" name="PivotTable14"/>
    <pivotTable tabId="8" name="PivotTable17"/>
    <pivotTable tabId="8" name="PivotTable18"/>
    <pivotTable tabId="8" name="PivotTable19"/>
    <pivotTable tabId="8" name="PivotTable22"/>
    <pivotTable tabId="8" name="PivotTable23"/>
    <pivotTable tabId="8" name="PivotTable30"/>
    <pivotTable tabId="8" name="PivotTable31"/>
  </pivotTables>
  <data>
    <tabular pivotCacheId="1659865123">
      <items count="20">
        <i x="6" s="1"/>
        <i x="15" s="1"/>
        <i x="18" s="1"/>
        <i x="10" s="1"/>
        <i x="8" s="1"/>
        <i x="13" s="1"/>
        <i x="4" s="1"/>
        <i x="1" s="1"/>
        <i x="5" s="1"/>
        <i x="17" s="1"/>
        <i x="7" s="1"/>
        <i x="14" s="1"/>
        <i x="0" s="1"/>
        <i x="3" s="1"/>
        <i x="12" s="1"/>
        <i x="11" s="1"/>
        <i x="19" s="1"/>
        <i x="16" s="1"/>
        <i x="9"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DBDBC6F-7012-42A9-A891-9C92CDDFE66B}" sourceName="State">
  <pivotTables>
    <pivotTable tabId="9" name="PivotTable17"/>
    <pivotTable tabId="7" name="PivotTable17"/>
    <pivotTable tabId="7" name="PivotTable18"/>
    <pivotTable tabId="7" name="PivotTable23"/>
    <pivotTable tabId="7" name="PivotTable24"/>
    <pivotTable tabId="7" name="PivotTable25"/>
    <pivotTable tabId="7" name="PivotTable29"/>
    <pivotTable tabId="9" name="PivotTable1"/>
    <pivotTable tabId="9" name="PivotTable14"/>
    <pivotTable tabId="9" name="PivotTable15"/>
    <pivotTable tabId="9" name="PivotTable16"/>
    <pivotTable tabId="9" name="PivotTable2"/>
    <pivotTable tabId="9" name="PivotTable23"/>
    <pivotTable tabId="9" name="PivotTable26"/>
    <pivotTable tabId="9" name="PivotTable27"/>
    <pivotTable tabId="9" name="PivotTable4"/>
    <pivotTable tabId="9" name="PivotTable5"/>
    <pivotTable tabId="9" name="PivotTable6"/>
    <pivotTable tabId="6" name="PivotTable14"/>
    <pivotTable tabId="6" name="PivotTable15"/>
    <pivotTable tabId="6" name="PivotTable16"/>
    <pivotTable tabId="6" name="PivotTable17"/>
    <pivotTable tabId="6" name="PivotTable18"/>
    <pivotTable tabId="6" name="PivotTable19"/>
    <pivotTable tabId="6" name="PivotTable20"/>
    <pivotTable tabId="6" name="PivotTable21"/>
    <pivotTable tabId="6" name="PivotTable22"/>
    <pivotTable tabId="6" name="PivotTable23"/>
    <pivotTable tabId="6" name="PivotTable26"/>
    <pivotTable tabId="6" name="PivotTable27"/>
    <pivotTable tabId="8" name="PivotTable14"/>
    <pivotTable tabId="8" name="PivotTable17"/>
    <pivotTable tabId="8" name="PivotTable18"/>
    <pivotTable tabId="8" name="PivotTable19"/>
    <pivotTable tabId="8" name="PivotTable22"/>
    <pivotTable tabId="8" name="PivotTable23"/>
    <pivotTable tabId="8" name="PivotTable30"/>
    <pivotTable tabId="8" name="PivotTable31"/>
  </pivotTables>
  <data>
    <tabular pivotCacheId="165986512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33FC16F-6E87-41D9-AF74-6F44B363A709}" cache="Slicer_Month" caption="Month" columnCount="3" style="SlicerStyleDark1 2" rowHeight="209550"/>
  <slicer name="Seller" xr10:uid="{21C2AD64-CB6D-43EA-9A73-EC0AF4535EB5}" cache="Slicer_Seller" caption="Seller" columnCount="2" style="SlicerStyleDark1 2" rowHeight="216000"/>
  <slicer name="Category" xr10:uid="{DD20396F-6033-4CEC-8A41-B6A02AB5491E}" cache="Slicer_Category" caption="Category" columnCount="2" style="SlicerStyleDark1 2" rowHeight="225425"/>
  <slicer name="Product" xr10:uid="{E6F57B67-D7DA-460E-B519-76529A004FA4}" cache="Slicer_Product" caption="Product" columnCount="2" style="SlicerStyleDark1 2" rowHeight="225425"/>
  <slicer name="State" xr10:uid="{86ED3B79-5E7C-4425-86E6-BC55C28877B8}" cache="Slicer_State" caption="State" columnCount="2" style="SlicerStyleDark1 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168F9D-1BBB-47B6-966C-780E89758DB0}" name="salesdata" displayName="salesdata" ref="A1:I201" totalsRowShown="0" headerRowDxfId="17" dataDxfId="15" headerRowBorderDxfId="16" tableBorderDxfId="14" totalsRowBorderDxfId="13">
  <autoFilter ref="A1:I201" xr:uid="{EC168F9D-1BBB-47B6-966C-780E89758DB0}"/>
  <tableColumns count="9">
    <tableColumn id="1" xr3:uid="{225BE336-C69F-4079-B652-60B7805DBB7B}" name="Month" dataDxfId="12"/>
    <tableColumn id="8" xr3:uid="{8D54D76A-71C4-460A-80EA-894663F4EFAD}" name="Month No" dataDxfId="11">
      <calculatedColumnFormula>MONTH(DATEVALUE(A2 &amp; " 1"))</calculatedColumnFormula>
    </tableColumn>
    <tableColumn id="2" xr3:uid="{134F7E3D-702E-404B-945F-636E8AC24FEB}" name="Seller" dataDxfId="10"/>
    <tableColumn id="3" xr3:uid="{201570E8-EECE-4ED7-A469-9966430DBF96}" name="Category" dataDxfId="9"/>
    <tableColumn id="4" xr3:uid="{DC6EFE9C-A0C7-485C-8C32-79F4BD863099}" name="Product" dataDxfId="8"/>
    <tableColumn id="5" xr3:uid="{AE9D4C01-68E4-4F58-9785-8CC7C66AB914}" name="State" dataDxfId="7"/>
    <tableColumn id="6" xr3:uid="{E620FD79-DC9A-443B-8A8A-ABD53DA030B4}" name="Sales" dataDxfId="6"/>
    <tableColumn id="7" xr3:uid="{73D3AF04-79A8-47D2-A9D2-8D67A95FAE7C}" name="Profit" dataDxfId="5"/>
    <tableColumn id="10" xr3:uid="{D0A2D0C6-6D70-482D-8D1A-DFFD6A3AB392}" name="Profit Margin (%)" dataDxfId="4" dataCellStyle="Comma">
      <calculatedColumnFormula>(salesdata[[#This Row],[Profit]]/salesdata[[#This Row],[Sales]])*100</calculatedColumnFormula>
    </tableColumn>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 dT="2025-04-17T23:05:28.80" personId="{A0C4C115-5543-4B5F-8DB8-A3E25447994B}" id="{4ACDBCEC-CED4-4960-8C6D-9085A46CA33F}">
    <text>Converted the “Sales” and “Profit” datatype from text to currency $</text>
  </threadedComment>
  <threadedComment ref="I1" dT="2025-04-17T23:08:29.66" personId="{A0C4C115-5543-4B5F-8DB8-A3E25447994B}" id="{73A0E5FE-EDD5-4F00-AF4C-14C7ADB39070}">
    <text>Added a new column for “Profit Margin %”
formula: =([@Profit]/[@Sales])*100</text>
  </threadedComment>
  <threadedComment ref="B2" dT="2025-04-17T23:03:53.14" personId="{A0C4C115-5543-4B5F-8DB8-A3E25447994B}" id="{F1D5442E-DDFD-4079-9A6D-6ED732FD4DB7}">
    <text>Created a new column for numbering the Month of the year in ordinal format for future arragment:
formula: =MONTH(DATEVALUE(A1 &amp; " 1"))</text>
  </threadedComment>
</ThreadedComment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ivotTable" Target="../pivotTables/pivotTable24.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27.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5" Type="http://schemas.openxmlformats.org/officeDocument/2006/relationships/pivotTable" Target="../pivotTables/pivotTable29.xml"/><Relationship Id="rId4" Type="http://schemas.openxmlformats.org/officeDocument/2006/relationships/pivotTable" Target="../pivotTables/pivotTable28.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38.xml"/><Relationship Id="rId3" Type="http://schemas.openxmlformats.org/officeDocument/2006/relationships/pivotTable" Target="../pivotTables/pivotTable33.xml"/><Relationship Id="rId7" Type="http://schemas.openxmlformats.org/officeDocument/2006/relationships/pivotTable" Target="../pivotTables/pivotTable37.xml"/><Relationship Id="rId2" Type="http://schemas.openxmlformats.org/officeDocument/2006/relationships/pivotTable" Target="../pivotTables/pivotTable32.xml"/><Relationship Id="rId1" Type="http://schemas.openxmlformats.org/officeDocument/2006/relationships/pivotTable" Target="../pivotTables/pivotTable31.xml"/><Relationship Id="rId6" Type="http://schemas.openxmlformats.org/officeDocument/2006/relationships/pivotTable" Target="../pivotTables/pivotTable36.xml"/><Relationship Id="rId5" Type="http://schemas.openxmlformats.org/officeDocument/2006/relationships/pivotTable" Target="../pivotTables/pivotTable35.xml"/><Relationship Id="rId4" Type="http://schemas.openxmlformats.org/officeDocument/2006/relationships/pivotTable" Target="../pivotTables/pivotTable3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A36D0-22BA-49C0-9C36-AA73DE3FCAAC}">
  <dimension ref="K17"/>
  <sheetViews>
    <sheetView showGridLines="0" tabSelected="1" zoomScaleNormal="100" workbookViewId="0">
      <selection activeCell="O26" sqref="O26"/>
    </sheetView>
  </sheetViews>
  <sheetFormatPr defaultColWidth="9.28515625" defaultRowHeight="12.75"/>
  <cols>
    <col min="1" max="26" width="9.42578125" style="33" customWidth="1"/>
    <col min="27" max="16384" width="9.28515625" style="33"/>
  </cols>
  <sheetData>
    <row r="17" spans="11:11">
      <c r="K17" s="34" t="s">
        <v>78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2464-805A-4E27-BCD8-A1859E3469F3}">
  <sheetPr>
    <tabColor rgb="FFFFFF00"/>
  </sheetPr>
  <dimension ref="A1:N77"/>
  <sheetViews>
    <sheetView workbookViewId="0">
      <selection activeCell="I13" sqref="I13"/>
    </sheetView>
  </sheetViews>
  <sheetFormatPr defaultRowHeight="12.75"/>
  <cols>
    <col min="1" max="1" width="11.28515625" bestFit="1" customWidth="1"/>
    <col min="2" max="2" width="13.140625" bestFit="1" customWidth="1"/>
    <col min="3" max="3" width="12.85546875" bestFit="1" customWidth="1"/>
    <col min="4" max="4" width="26.85546875" bestFit="1" customWidth="1"/>
    <col min="5" max="5" width="11" bestFit="1" customWidth="1"/>
    <col min="6" max="6" width="12.28515625" bestFit="1" customWidth="1"/>
    <col min="7" max="7" width="19.85546875" bestFit="1" customWidth="1"/>
    <col min="8" max="8" width="13.140625" bestFit="1" customWidth="1"/>
    <col min="9" max="9" width="12.85546875" bestFit="1" customWidth="1"/>
    <col min="10" max="10" width="26.85546875" bestFit="1" customWidth="1"/>
    <col min="11" max="13" width="11.85546875" bestFit="1" customWidth="1"/>
    <col min="14" max="14" width="14.28515625" bestFit="1" customWidth="1"/>
    <col min="15" max="15" width="8.28515625" bestFit="1" customWidth="1"/>
    <col min="16" max="16" width="4.28515625" bestFit="1" customWidth="1"/>
    <col min="17" max="17" width="5.42578125" bestFit="1" customWidth="1"/>
    <col min="18" max="18" width="5.28515625" bestFit="1" customWidth="1"/>
    <col min="19" max="19" width="4" bestFit="1" customWidth="1"/>
    <col min="20" max="20" width="5.7109375" bestFit="1" customWidth="1"/>
    <col min="21" max="21" width="6" bestFit="1" customWidth="1"/>
    <col min="22" max="22" width="11" bestFit="1" customWidth="1"/>
    <col min="23" max="23" width="7.42578125" bestFit="1" customWidth="1"/>
    <col min="24" max="24" width="9.140625" bestFit="1" customWidth="1"/>
    <col min="25" max="25" width="6.7109375" bestFit="1" customWidth="1"/>
    <col min="26" max="26" width="8.85546875" bestFit="1" customWidth="1"/>
    <col min="27" max="27" width="11" bestFit="1" customWidth="1"/>
  </cols>
  <sheetData>
    <row r="1" spans="1:14">
      <c r="B1" t="s">
        <v>79</v>
      </c>
      <c r="C1" t="s">
        <v>80</v>
      </c>
      <c r="D1" t="s">
        <v>81</v>
      </c>
    </row>
    <row r="2" spans="1:14">
      <c r="B2" s="6">
        <v>9995.59</v>
      </c>
      <c r="C2" s="6">
        <v>7188.04</v>
      </c>
      <c r="D2" s="6">
        <v>4905.7010499999997</v>
      </c>
    </row>
    <row r="3" spans="1:14">
      <c r="B3" t="s">
        <v>68</v>
      </c>
      <c r="C3" t="s">
        <v>69</v>
      </c>
      <c r="D3" t="s">
        <v>70</v>
      </c>
      <c r="G3" s="24" t="s">
        <v>72</v>
      </c>
      <c r="H3" t="s">
        <v>68</v>
      </c>
      <c r="I3" t="s">
        <v>69</v>
      </c>
      <c r="J3" t="s">
        <v>70</v>
      </c>
      <c r="M3" s="24" t="s">
        <v>72</v>
      </c>
      <c r="N3" t="s">
        <v>71</v>
      </c>
    </row>
    <row r="4" spans="1:14">
      <c r="B4" s="6">
        <v>981140.21</v>
      </c>
      <c r="C4" s="6">
        <v>448020.63999999996</v>
      </c>
      <c r="D4" s="27">
        <v>44.917459582633875</v>
      </c>
      <c r="G4" s="25" t="s">
        <v>14</v>
      </c>
      <c r="H4" s="6">
        <v>188231.41</v>
      </c>
      <c r="I4" s="6">
        <v>89527.419999999969</v>
      </c>
      <c r="J4" s="27">
        <v>47.660041532930634</v>
      </c>
      <c r="M4" s="25" t="s">
        <v>14</v>
      </c>
      <c r="N4" s="35">
        <v>40</v>
      </c>
    </row>
    <row r="5" spans="1:14">
      <c r="G5" s="26" t="s">
        <v>26</v>
      </c>
      <c r="H5" s="6">
        <v>43767.72</v>
      </c>
      <c r="I5" s="6">
        <v>14468.99</v>
      </c>
      <c r="J5" s="27">
        <v>41.476012493841765</v>
      </c>
      <c r="M5" s="26" t="s">
        <v>26</v>
      </c>
      <c r="N5" s="35">
        <v>10</v>
      </c>
    </row>
    <row r="6" spans="1:14">
      <c r="G6" s="26" t="s">
        <v>15</v>
      </c>
      <c r="H6" s="6">
        <v>80356.490000000005</v>
      </c>
      <c r="I6" s="6">
        <v>46950.18</v>
      </c>
      <c r="J6" s="27">
        <v>57.892968749556516</v>
      </c>
      <c r="M6" s="26" t="s">
        <v>15</v>
      </c>
      <c r="N6" s="35">
        <v>14</v>
      </c>
    </row>
    <row r="7" spans="1:14">
      <c r="A7" s="24" t="s">
        <v>0</v>
      </c>
      <c r="B7" t="s">
        <v>68</v>
      </c>
      <c r="C7" t="s">
        <v>69</v>
      </c>
      <c r="D7" t="s">
        <v>70</v>
      </c>
      <c r="G7" s="26" t="s">
        <v>45</v>
      </c>
      <c r="H7" s="6">
        <v>41871.17</v>
      </c>
      <c r="I7" s="6">
        <v>17063.830000000002</v>
      </c>
      <c r="J7" s="27">
        <v>40.795062872483129</v>
      </c>
      <c r="M7" s="26" t="s">
        <v>45</v>
      </c>
      <c r="N7" s="35">
        <v>9</v>
      </c>
    </row>
    <row r="8" spans="1:14">
      <c r="A8" s="25" t="s">
        <v>36</v>
      </c>
      <c r="B8" s="6">
        <v>113697.64</v>
      </c>
      <c r="C8" s="6">
        <v>46639.99</v>
      </c>
      <c r="D8" s="27">
        <v>42.081219097080741</v>
      </c>
      <c r="G8" s="26" t="s">
        <v>42</v>
      </c>
      <c r="H8" s="6">
        <v>22236.03</v>
      </c>
      <c r="I8" s="6">
        <v>11044.420000000002</v>
      </c>
      <c r="J8" s="27">
        <v>44.854915433238318</v>
      </c>
      <c r="M8" s="26" t="s">
        <v>42</v>
      </c>
      <c r="N8" s="35">
        <v>7</v>
      </c>
    </row>
    <row r="9" spans="1:14">
      <c r="A9" s="25" t="s">
        <v>25</v>
      </c>
      <c r="B9" s="6">
        <v>97653.540000000023</v>
      </c>
      <c r="C9" s="6">
        <v>40084.160000000003</v>
      </c>
      <c r="D9" s="27">
        <v>42.577594904457932</v>
      </c>
      <c r="G9" s="25" t="s">
        <v>9</v>
      </c>
      <c r="H9" s="6">
        <v>195290.75</v>
      </c>
      <c r="I9" s="6">
        <v>86543.479999999981</v>
      </c>
      <c r="J9" s="27">
        <v>42.931224781190174</v>
      </c>
      <c r="M9" s="25" t="s">
        <v>9</v>
      </c>
      <c r="N9" s="35">
        <v>41</v>
      </c>
    </row>
    <row r="10" spans="1:14">
      <c r="A10" s="25" t="s">
        <v>28</v>
      </c>
      <c r="B10" s="6">
        <v>69469.650000000009</v>
      </c>
      <c r="C10" s="6">
        <v>28621.84</v>
      </c>
      <c r="D10" s="27">
        <v>39.894892884408598</v>
      </c>
      <c r="G10" s="26" t="s">
        <v>50</v>
      </c>
      <c r="H10" s="6">
        <v>43802.920000000006</v>
      </c>
      <c r="I10" s="6">
        <v>14553.21</v>
      </c>
      <c r="J10" s="27">
        <v>35.176540010034266</v>
      </c>
      <c r="M10" s="26" t="s">
        <v>50</v>
      </c>
      <c r="N10" s="35">
        <v>10</v>
      </c>
    </row>
    <row r="11" spans="1:14">
      <c r="A11" s="25" t="s">
        <v>39</v>
      </c>
      <c r="B11" s="6">
        <v>117785.47000000002</v>
      </c>
      <c r="C11" s="6">
        <v>57158.5</v>
      </c>
      <c r="D11" s="27">
        <v>45.828852217056102</v>
      </c>
      <c r="G11" s="26" t="s">
        <v>46</v>
      </c>
      <c r="H11" s="6">
        <v>58968.3</v>
      </c>
      <c r="I11" s="6">
        <v>30924.13</v>
      </c>
      <c r="J11" s="27">
        <v>52.655916562726127</v>
      </c>
      <c r="M11" s="26" t="s">
        <v>46</v>
      </c>
      <c r="N11" s="35">
        <v>12</v>
      </c>
    </row>
    <row r="12" spans="1:14">
      <c r="A12" s="25" t="s">
        <v>7</v>
      </c>
      <c r="B12" s="6">
        <v>51206.009999999995</v>
      </c>
      <c r="C12" s="6">
        <v>24074.780000000002</v>
      </c>
      <c r="D12" s="27">
        <v>43.985104270220369</v>
      </c>
      <c r="G12" s="26" t="s">
        <v>53</v>
      </c>
      <c r="H12" s="6">
        <v>57724.159999999996</v>
      </c>
      <c r="I12" s="6">
        <v>24814.349999999991</v>
      </c>
      <c r="J12" s="27">
        <v>39.854890290472568</v>
      </c>
      <c r="M12" s="26" t="s">
        <v>53</v>
      </c>
      <c r="N12" s="35">
        <v>12</v>
      </c>
    </row>
    <row r="13" spans="1:14">
      <c r="A13" s="25" t="s">
        <v>17</v>
      </c>
      <c r="B13" s="6">
        <v>111064.25999999998</v>
      </c>
      <c r="C13" s="6">
        <v>44431.750000000007</v>
      </c>
      <c r="D13" s="27">
        <v>37.656708182248089</v>
      </c>
      <c r="G13" s="26" t="s">
        <v>10</v>
      </c>
      <c r="H13" s="6">
        <v>34795.369999999995</v>
      </c>
      <c r="I13" s="6">
        <v>16251.79</v>
      </c>
      <c r="J13" s="27">
        <v>42.612161955724282</v>
      </c>
      <c r="M13" s="26" t="s">
        <v>10</v>
      </c>
      <c r="N13" s="35">
        <v>7</v>
      </c>
    </row>
    <row r="14" spans="1:14">
      <c r="A14" s="25" t="s">
        <v>37</v>
      </c>
      <c r="B14" s="6">
        <v>94539.450000000012</v>
      </c>
      <c r="C14" s="6">
        <v>45810.009999999995</v>
      </c>
      <c r="D14" s="27">
        <v>49.010615938467694</v>
      </c>
      <c r="G14" s="25" t="s">
        <v>23</v>
      </c>
      <c r="H14" s="6">
        <v>170206.58000000005</v>
      </c>
      <c r="I14" s="6">
        <v>72950.999999999985</v>
      </c>
      <c r="J14" s="27">
        <v>39.938068350503478</v>
      </c>
      <c r="M14" s="25" t="s">
        <v>23</v>
      </c>
      <c r="N14" s="35">
        <v>34</v>
      </c>
    </row>
    <row r="15" spans="1:14">
      <c r="A15" s="25" t="s">
        <v>40</v>
      </c>
      <c r="B15" s="6">
        <v>62616.81</v>
      </c>
      <c r="C15" s="6">
        <v>33871.340000000004</v>
      </c>
      <c r="D15" s="27">
        <v>49.629082738079035</v>
      </c>
      <c r="G15" s="26" t="s">
        <v>55</v>
      </c>
      <c r="H15" s="6">
        <v>31919.95</v>
      </c>
      <c r="I15" s="6">
        <v>19792.149999999998</v>
      </c>
      <c r="J15" s="27">
        <v>54.514133642362353</v>
      </c>
      <c r="M15" s="26" t="s">
        <v>55</v>
      </c>
      <c r="N15" s="35">
        <v>5</v>
      </c>
    </row>
    <row r="16" spans="1:14">
      <c r="A16" s="25" t="s">
        <v>54</v>
      </c>
      <c r="B16" s="6">
        <v>65562.06</v>
      </c>
      <c r="C16" s="6">
        <v>32213.510000000006</v>
      </c>
      <c r="D16" s="27">
        <v>49.284463876455199</v>
      </c>
      <c r="G16" s="26" t="s">
        <v>30</v>
      </c>
      <c r="H16" s="6">
        <v>31314.180000000004</v>
      </c>
      <c r="I16" s="6">
        <v>10217.969999999999</v>
      </c>
      <c r="J16" s="27">
        <v>35.989130378788232</v>
      </c>
      <c r="M16" s="26" t="s">
        <v>30</v>
      </c>
      <c r="N16" s="35">
        <v>8</v>
      </c>
    </row>
    <row r="17" spans="1:14">
      <c r="A17" s="25" t="s">
        <v>51</v>
      </c>
      <c r="B17" s="6">
        <v>87670.030000000013</v>
      </c>
      <c r="C17" s="6">
        <v>38316.69</v>
      </c>
      <c r="D17" s="27">
        <v>46.89903908060451</v>
      </c>
      <c r="G17" s="26" t="s">
        <v>24</v>
      </c>
      <c r="H17" s="6">
        <v>53405.12999999999</v>
      </c>
      <c r="I17" s="6">
        <v>20896.810000000001</v>
      </c>
      <c r="J17" s="27">
        <v>38.051931343721861</v>
      </c>
      <c r="M17" s="26" t="s">
        <v>24</v>
      </c>
      <c r="N17" s="35">
        <v>11</v>
      </c>
    </row>
    <row r="18" spans="1:14">
      <c r="A18" s="25" t="s">
        <v>12</v>
      </c>
      <c r="B18" s="6">
        <v>63912.19</v>
      </c>
      <c r="C18" s="6">
        <v>35866.939999999995</v>
      </c>
      <c r="D18" s="27">
        <v>50.874701282119986</v>
      </c>
      <c r="G18" s="26" t="s">
        <v>44</v>
      </c>
      <c r="H18" s="6">
        <v>53567.32</v>
      </c>
      <c r="I18" s="6">
        <v>22044.069999999996</v>
      </c>
      <c r="J18" s="27">
        <v>37.883936789406036</v>
      </c>
      <c r="M18" s="26" t="s">
        <v>44</v>
      </c>
      <c r="N18" s="35">
        <v>10</v>
      </c>
    </row>
    <row r="19" spans="1:14">
      <c r="A19" s="25" t="s">
        <v>22</v>
      </c>
      <c r="B19" s="6">
        <v>45963.1</v>
      </c>
      <c r="C19" s="6">
        <v>20931.129999999997</v>
      </c>
      <c r="D19" s="27">
        <v>46.250654558180464</v>
      </c>
      <c r="G19" s="25" t="s">
        <v>34</v>
      </c>
      <c r="H19" s="6">
        <v>189973.73999999996</v>
      </c>
      <c r="I19" s="6">
        <v>92190.099999999977</v>
      </c>
      <c r="J19" s="27">
        <v>47.450083365319657</v>
      </c>
      <c r="M19" s="25" t="s">
        <v>34</v>
      </c>
      <c r="N19" s="35">
        <v>38</v>
      </c>
    </row>
    <row r="20" spans="1:14">
      <c r="G20" s="26" t="s">
        <v>43</v>
      </c>
      <c r="H20" s="6">
        <v>41886.39</v>
      </c>
      <c r="I20" s="6">
        <v>19370.53</v>
      </c>
      <c r="J20" s="27">
        <v>47.075705104112501</v>
      </c>
      <c r="M20" s="26" t="s">
        <v>43</v>
      </c>
      <c r="N20" s="35">
        <v>8</v>
      </c>
    </row>
    <row r="21" spans="1:14">
      <c r="G21" s="26" t="s">
        <v>35</v>
      </c>
      <c r="H21" s="6">
        <v>85918.450000000012</v>
      </c>
      <c r="I21" s="6">
        <v>44527.509999999987</v>
      </c>
      <c r="J21" s="27">
        <v>48.291707517156169</v>
      </c>
      <c r="M21" s="26" t="s">
        <v>35</v>
      </c>
      <c r="N21" s="35">
        <v>15</v>
      </c>
    </row>
    <row r="22" spans="1:14">
      <c r="G22" s="26" t="s">
        <v>49</v>
      </c>
      <c r="H22" s="6">
        <v>45890.689999999995</v>
      </c>
      <c r="I22" s="6">
        <v>19735.829999999998</v>
      </c>
      <c r="J22" s="27">
        <v>45.556376332006259</v>
      </c>
      <c r="M22" s="26" t="s">
        <v>49</v>
      </c>
      <c r="N22" s="35">
        <v>10</v>
      </c>
    </row>
    <row r="23" spans="1:14">
      <c r="G23" s="26" t="s">
        <v>56</v>
      </c>
      <c r="H23" s="6">
        <v>16278.21</v>
      </c>
      <c r="I23" s="6">
        <v>8556.23</v>
      </c>
      <c r="J23" s="27">
        <v>49.311630194368306</v>
      </c>
      <c r="M23" s="26" t="s">
        <v>56</v>
      </c>
      <c r="N23" s="35">
        <v>5</v>
      </c>
    </row>
    <row r="24" spans="1:14">
      <c r="A24" s="24" t="s">
        <v>4</v>
      </c>
      <c r="B24" t="s">
        <v>68</v>
      </c>
      <c r="C24" t="s">
        <v>69</v>
      </c>
      <c r="D24" t="s">
        <v>70</v>
      </c>
      <c r="G24" s="25" t="s">
        <v>19</v>
      </c>
      <c r="H24" s="6">
        <v>237437.73</v>
      </c>
      <c r="I24" s="6">
        <v>106808.64</v>
      </c>
      <c r="J24" s="27">
        <v>45.870479731521165</v>
      </c>
      <c r="M24" s="25" t="s">
        <v>19</v>
      </c>
      <c r="N24" s="35">
        <v>47</v>
      </c>
    </row>
    <row r="25" spans="1:14">
      <c r="A25" s="25" t="s">
        <v>11</v>
      </c>
      <c r="B25" s="6">
        <v>302292.71000000002</v>
      </c>
      <c r="C25" s="6">
        <v>141186.25999999998</v>
      </c>
      <c r="D25" s="27">
        <v>45.045301632287355</v>
      </c>
      <c r="G25" s="26" t="s">
        <v>32</v>
      </c>
      <c r="H25" s="6">
        <v>80571.700000000012</v>
      </c>
      <c r="I25" s="6">
        <v>27698.079999999998</v>
      </c>
      <c r="J25" s="27">
        <v>37.056075703177683</v>
      </c>
      <c r="M25" s="26" t="s">
        <v>32</v>
      </c>
      <c r="N25" s="35">
        <v>15</v>
      </c>
    </row>
    <row r="26" spans="1:14">
      <c r="A26" s="25" t="s">
        <v>27</v>
      </c>
      <c r="B26" s="6">
        <v>124960.35</v>
      </c>
      <c r="C26" s="6">
        <v>62480.640000000014</v>
      </c>
      <c r="D26" s="27">
        <v>47.363039502938065</v>
      </c>
      <c r="G26" s="26" t="s">
        <v>41</v>
      </c>
      <c r="H26" s="6">
        <v>76670.650000000009</v>
      </c>
      <c r="I26" s="6">
        <v>37401.479999999996</v>
      </c>
      <c r="J26" s="27">
        <v>48.160691621438183</v>
      </c>
      <c r="M26" s="26" t="s">
        <v>41</v>
      </c>
      <c r="N26" s="35">
        <v>18</v>
      </c>
    </row>
    <row r="27" spans="1:14">
      <c r="A27" s="25" t="s">
        <v>33</v>
      </c>
      <c r="B27" s="6">
        <v>123245.15000000001</v>
      </c>
      <c r="C27" s="6">
        <v>48498.619999999995</v>
      </c>
      <c r="D27" s="27">
        <v>42.461490247455785</v>
      </c>
      <c r="G27" s="26" t="s">
        <v>52</v>
      </c>
      <c r="H27" s="6">
        <v>34727.339999999997</v>
      </c>
      <c r="I27" s="6">
        <v>16300.189999999999</v>
      </c>
      <c r="J27" s="27">
        <v>43.482540738944245</v>
      </c>
      <c r="M27" s="26" t="s">
        <v>52</v>
      </c>
      <c r="N27" s="35">
        <v>6</v>
      </c>
    </row>
    <row r="28" spans="1:14">
      <c r="A28" s="25" t="s">
        <v>21</v>
      </c>
      <c r="B28" s="6">
        <v>172765.65000000002</v>
      </c>
      <c r="C28" s="6">
        <v>81223.89999999998</v>
      </c>
      <c r="D28" s="27">
        <v>44.649548737804949</v>
      </c>
      <c r="G28" s="26" t="s">
        <v>20</v>
      </c>
      <c r="H28" s="6">
        <v>45468.039999999994</v>
      </c>
      <c r="I28" s="6">
        <v>25408.89</v>
      </c>
      <c r="J28" s="27">
        <v>59.035464776784593</v>
      </c>
      <c r="M28" s="26" t="s">
        <v>20</v>
      </c>
      <c r="N28" s="35">
        <v>8</v>
      </c>
    </row>
    <row r="29" spans="1:14">
      <c r="A29" s="25" t="s">
        <v>47</v>
      </c>
      <c r="B29" s="6">
        <v>129640.7</v>
      </c>
      <c r="C29" s="6">
        <v>54761.43</v>
      </c>
      <c r="D29" s="27">
        <v>44.211072298138696</v>
      </c>
      <c r="G29" s="25" t="s">
        <v>67</v>
      </c>
      <c r="H29" s="6">
        <v>981140.20999999985</v>
      </c>
      <c r="I29" s="6">
        <v>448020.63999999984</v>
      </c>
      <c r="J29" s="27">
        <v>44.917459582633875</v>
      </c>
      <c r="M29" s="25" t="s">
        <v>67</v>
      </c>
      <c r="N29" s="35">
        <v>200</v>
      </c>
    </row>
    <row r="30" spans="1:14">
      <c r="A30" s="25" t="s">
        <v>16</v>
      </c>
      <c r="B30" s="6">
        <v>128235.65</v>
      </c>
      <c r="C30" s="6">
        <v>59869.790000000008</v>
      </c>
      <c r="D30" s="27">
        <v>45.7328389235795</v>
      </c>
    </row>
    <row r="33" spans="1:14">
      <c r="M33" s="24" t="s">
        <v>0</v>
      </c>
      <c r="N33" t="s">
        <v>71</v>
      </c>
    </row>
    <row r="34" spans="1:14">
      <c r="M34" s="25" t="s">
        <v>36</v>
      </c>
      <c r="N34" s="35">
        <v>22</v>
      </c>
    </row>
    <row r="35" spans="1:14">
      <c r="A35" s="24" t="s">
        <v>1</v>
      </c>
      <c r="B35" t="s">
        <v>68</v>
      </c>
      <c r="C35" t="s">
        <v>69</v>
      </c>
      <c r="D35" t="s">
        <v>70</v>
      </c>
      <c r="F35" s="28" t="s">
        <v>76</v>
      </c>
      <c r="G35" s="28" t="s">
        <v>73</v>
      </c>
      <c r="H35" s="28" t="s">
        <v>74</v>
      </c>
      <c r="I35" s="28" t="s">
        <v>75</v>
      </c>
      <c r="J35" s="28" t="s">
        <v>77</v>
      </c>
      <c r="M35" s="25" t="s">
        <v>25</v>
      </c>
      <c r="N35" s="35">
        <v>17</v>
      </c>
    </row>
    <row r="36" spans="1:14">
      <c r="A36" s="25" t="s">
        <v>38</v>
      </c>
      <c r="B36" s="6">
        <v>148639.21999999997</v>
      </c>
      <c r="C36" s="6">
        <v>68976.390000000014</v>
      </c>
      <c r="D36" s="27">
        <v>44.661523822910624</v>
      </c>
      <c r="F36" s="29">
        <f>COUNTA(A36:A42)</f>
        <v>7</v>
      </c>
      <c r="G36" s="29">
        <f>COUNTA(A47:A51)</f>
        <v>5</v>
      </c>
      <c r="H36" s="29">
        <f>COUNTA(A58:A77)</f>
        <v>20</v>
      </c>
      <c r="I36" s="29">
        <f>COUNTA(A25:A30)</f>
        <v>6</v>
      </c>
      <c r="J36" s="29">
        <f>GETPIVOTDATA("Sales",$M$3)</f>
        <v>200</v>
      </c>
      <c r="M36" s="25" t="s">
        <v>28</v>
      </c>
      <c r="N36" s="35">
        <v>15</v>
      </c>
    </row>
    <row r="37" spans="1:14">
      <c r="A37" s="25" t="s">
        <v>29</v>
      </c>
      <c r="B37" s="6">
        <v>170973.17999999993</v>
      </c>
      <c r="C37" s="6">
        <v>67730.429999999993</v>
      </c>
      <c r="D37" s="27">
        <v>40.37236757584234</v>
      </c>
      <c r="M37" s="25" t="s">
        <v>39</v>
      </c>
      <c r="N37" s="35">
        <v>22</v>
      </c>
    </row>
    <row r="38" spans="1:14">
      <c r="A38" s="25" t="s">
        <v>31</v>
      </c>
      <c r="B38" s="6">
        <v>146463.46999999997</v>
      </c>
      <c r="C38" s="6">
        <v>75659.250000000015</v>
      </c>
      <c r="D38" s="27">
        <v>51.195065989409699</v>
      </c>
      <c r="M38" s="25" t="s">
        <v>7</v>
      </c>
      <c r="N38" s="35">
        <v>16</v>
      </c>
    </row>
    <row r="39" spans="1:14">
      <c r="A39" s="25" t="s">
        <v>8</v>
      </c>
      <c r="B39" s="6">
        <v>146424.48000000004</v>
      </c>
      <c r="C39" s="6">
        <v>51504.74</v>
      </c>
      <c r="D39" s="27">
        <v>34.650960308147468</v>
      </c>
      <c r="M39" s="25" t="s">
        <v>17</v>
      </c>
      <c r="N39" s="35">
        <v>21</v>
      </c>
    </row>
    <row r="40" spans="1:14">
      <c r="A40" s="25" t="s">
        <v>18</v>
      </c>
      <c r="B40" s="6">
        <v>123672.96000000001</v>
      </c>
      <c r="C40" s="6">
        <v>54599.55</v>
      </c>
      <c r="D40" s="27">
        <v>46.210879247400605</v>
      </c>
      <c r="M40" s="25" t="s">
        <v>37</v>
      </c>
      <c r="N40" s="35">
        <v>19</v>
      </c>
    </row>
    <row r="41" spans="1:14">
      <c r="A41" s="25" t="s">
        <v>13</v>
      </c>
      <c r="B41" s="6">
        <v>106484.04000000001</v>
      </c>
      <c r="C41" s="6">
        <v>51216.37999999999</v>
      </c>
      <c r="D41" s="27">
        <v>47.040996533365458</v>
      </c>
      <c r="M41" s="25" t="s">
        <v>40</v>
      </c>
      <c r="N41" s="35">
        <v>14</v>
      </c>
    </row>
    <row r="42" spans="1:14">
      <c r="A42" s="25" t="s">
        <v>48</v>
      </c>
      <c r="B42" s="6">
        <v>138482.85999999996</v>
      </c>
      <c r="C42" s="6">
        <v>78333.89999999998</v>
      </c>
      <c r="D42" s="27">
        <v>54.334224881887025</v>
      </c>
      <c r="M42" s="25" t="s">
        <v>54</v>
      </c>
      <c r="N42" s="35">
        <v>11</v>
      </c>
    </row>
    <row r="43" spans="1:14">
      <c r="M43" s="25" t="s">
        <v>51</v>
      </c>
      <c r="N43" s="35">
        <v>17</v>
      </c>
    </row>
    <row r="44" spans="1:14">
      <c r="M44" s="25" t="s">
        <v>12</v>
      </c>
      <c r="N44" s="35">
        <v>14</v>
      </c>
    </row>
    <row r="45" spans="1:14">
      <c r="M45" s="25" t="s">
        <v>22</v>
      </c>
      <c r="N45" s="35">
        <v>12</v>
      </c>
    </row>
    <row r="46" spans="1:14">
      <c r="A46" s="24" t="s">
        <v>1</v>
      </c>
      <c r="B46" t="s">
        <v>68</v>
      </c>
      <c r="C46" t="s">
        <v>69</v>
      </c>
      <c r="D46" t="s">
        <v>70</v>
      </c>
      <c r="M46" s="25" t="s">
        <v>67</v>
      </c>
      <c r="N46" s="35">
        <v>200</v>
      </c>
    </row>
    <row r="47" spans="1:14">
      <c r="A47" s="25" t="s">
        <v>14</v>
      </c>
      <c r="B47" s="6">
        <v>188231.41</v>
      </c>
      <c r="C47" s="6">
        <v>89527.419999999984</v>
      </c>
      <c r="D47" s="27">
        <v>47.660041532930634</v>
      </c>
    </row>
    <row r="48" spans="1:14">
      <c r="A48" s="25" t="s">
        <v>9</v>
      </c>
      <c r="B48" s="6">
        <v>195290.74999999994</v>
      </c>
      <c r="C48" s="6">
        <v>86543.48</v>
      </c>
      <c r="D48" s="27">
        <v>42.931224781190174</v>
      </c>
    </row>
    <row r="49" spans="1:14">
      <c r="A49" s="25" t="s">
        <v>23</v>
      </c>
      <c r="B49" s="6">
        <v>170206.58</v>
      </c>
      <c r="C49" s="6">
        <v>72951</v>
      </c>
      <c r="D49" s="27">
        <v>39.938068350503485</v>
      </c>
    </row>
    <row r="50" spans="1:14">
      <c r="A50" s="25" t="s">
        <v>34</v>
      </c>
      <c r="B50" s="6">
        <v>189973.73999999993</v>
      </c>
      <c r="C50" s="6">
        <v>92190.099999999977</v>
      </c>
      <c r="D50" s="27">
        <v>47.450083365319664</v>
      </c>
      <c r="M50" s="24" t="s">
        <v>4</v>
      </c>
      <c r="N50" t="s">
        <v>71</v>
      </c>
    </row>
    <row r="51" spans="1:14">
      <c r="A51" s="25" t="s">
        <v>19</v>
      </c>
      <c r="B51" s="6">
        <v>237437.73000000004</v>
      </c>
      <c r="C51" s="6">
        <v>106808.64000000001</v>
      </c>
      <c r="D51" s="27">
        <v>45.870479731521158</v>
      </c>
      <c r="M51" s="25" t="s">
        <v>11</v>
      </c>
      <c r="N51" s="35">
        <v>62</v>
      </c>
    </row>
    <row r="52" spans="1:14">
      <c r="M52" s="25" t="s">
        <v>27</v>
      </c>
      <c r="N52" s="35">
        <v>25</v>
      </c>
    </row>
    <row r="53" spans="1:14">
      <c r="M53" s="25" t="s">
        <v>33</v>
      </c>
      <c r="N53" s="35">
        <v>24</v>
      </c>
    </row>
    <row r="54" spans="1:14">
      <c r="M54" s="25" t="s">
        <v>21</v>
      </c>
      <c r="N54" s="35">
        <v>37</v>
      </c>
    </row>
    <row r="55" spans="1:14">
      <c r="M55" s="25" t="s">
        <v>47</v>
      </c>
      <c r="N55" s="35">
        <v>28</v>
      </c>
    </row>
    <row r="56" spans="1:14">
      <c r="M56" s="25" t="s">
        <v>16</v>
      </c>
      <c r="N56" s="35">
        <v>24</v>
      </c>
    </row>
    <row r="57" spans="1:14">
      <c r="A57" s="24" t="s">
        <v>1</v>
      </c>
      <c r="B57" t="s">
        <v>68</v>
      </c>
      <c r="C57" t="s">
        <v>69</v>
      </c>
      <c r="D57" t="s">
        <v>70</v>
      </c>
      <c r="M57" s="25" t="s">
        <v>67</v>
      </c>
      <c r="N57" s="35">
        <v>200</v>
      </c>
    </row>
    <row r="58" spans="1:14">
      <c r="A58" s="25" t="s">
        <v>32</v>
      </c>
      <c r="B58" s="6">
        <v>80571.700000000012</v>
      </c>
      <c r="C58" s="6">
        <v>27698.079999999998</v>
      </c>
      <c r="D58" s="27">
        <v>37.056075703177683</v>
      </c>
    </row>
    <row r="59" spans="1:14">
      <c r="A59" s="25" t="s">
        <v>50</v>
      </c>
      <c r="B59" s="6">
        <v>43802.920000000006</v>
      </c>
      <c r="C59" s="6">
        <v>14553.21</v>
      </c>
      <c r="D59" s="27">
        <v>35.176540010034266</v>
      </c>
    </row>
    <row r="60" spans="1:14">
      <c r="A60" s="25" t="s">
        <v>55</v>
      </c>
      <c r="B60" s="6">
        <v>31919.95</v>
      </c>
      <c r="C60" s="6">
        <v>19792.149999999998</v>
      </c>
      <c r="D60" s="27">
        <v>54.514133642362353</v>
      </c>
    </row>
    <row r="61" spans="1:14">
      <c r="A61" s="25" t="s">
        <v>43</v>
      </c>
      <c r="B61" s="6">
        <v>41886.39</v>
      </c>
      <c r="C61" s="6">
        <v>19370.53</v>
      </c>
      <c r="D61" s="27">
        <v>47.075705104112501</v>
      </c>
      <c r="M61" s="24" t="s">
        <v>1</v>
      </c>
      <c r="N61" t="s">
        <v>71</v>
      </c>
    </row>
    <row r="62" spans="1:14">
      <c r="A62" s="25" t="s">
        <v>41</v>
      </c>
      <c r="B62" s="6">
        <v>76670.650000000009</v>
      </c>
      <c r="C62" s="6">
        <v>37401.479999999996</v>
      </c>
      <c r="D62" s="27">
        <v>48.160691621438183</v>
      </c>
      <c r="M62" s="25" t="s">
        <v>38</v>
      </c>
      <c r="N62" s="35">
        <v>27</v>
      </c>
    </row>
    <row r="63" spans="1:14">
      <c r="A63" s="25" t="s">
        <v>46</v>
      </c>
      <c r="B63" s="6">
        <v>58968.3</v>
      </c>
      <c r="C63" s="6">
        <v>30924.13</v>
      </c>
      <c r="D63" s="27">
        <v>52.655916562726127</v>
      </c>
      <c r="M63" s="25" t="s">
        <v>29</v>
      </c>
      <c r="N63" s="35">
        <v>39</v>
      </c>
    </row>
    <row r="64" spans="1:14">
      <c r="A64" s="25" t="s">
        <v>26</v>
      </c>
      <c r="B64" s="6">
        <v>43767.72</v>
      </c>
      <c r="C64" s="6">
        <v>14468.99</v>
      </c>
      <c r="D64" s="27">
        <v>41.476012493841765</v>
      </c>
      <c r="M64" s="25" t="s">
        <v>31</v>
      </c>
      <c r="N64" s="35">
        <v>29</v>
      </c>
    </row>
    <row r="65" spans="1:14">
      <c r="A65" s="25" t="s">
        <v>15</v>
      </c>
      <c r="B65" s="6">
        <v>80356.490000000005</v>
      </c>
      <c r="C65" s="6">
        <v>46950.18</v>
      </c>
      <c r="D65" s="27">
        <v>57.892968749556516</v>
      </c>
      <c r="M65" s="25" t="s">
        <v>8</v>
      </c>
      <c r="N65" s="35">
        <v>31</v>
      </c>
    </row>
    <row r="66" spans="1:14">
      <c r="A66" s="25" t="s">
        <v>30</v>
      </c>
      <c r="B66" s="6">
        <v>31314.180000000004</v>
      </c>
      <c r="C66" s="6">
        <v>10217.969999999999</v>
      </c>
      <c r="D66" s="27">
        <v>35.989130378788232</v>
      </c>
      <c r="M66" s="25" t="s">
        <v>18</v>
      </c>
      <c r="N66" s="35">
        <v>23</v>
      </c>
    </row>
    <row r="67" spans="1:14">
      <c r="A67" s="25" t="s">
        <v>53</v>
      </c>
      <c r="B67" s="6">
        <v>57724.159999999996</v>
      </c>
      <c r="C67" s="6">
        <v>24814.349999999991</v>
      </c>
      <c r="D67" s="27">
        <v>39.854890290472568</v>
      </c>
      <c r="M67" s="25" t="s">
        <v>13</v>
      </c>
      <c r="N67" s="35">
        <v>26</v>
      </c>
    </row>
    <row r="68" spans="1:14">
      <c r="A68" s="25" t="s">
        <v>35</v>
      </c>
      <c r="B68" s="6">
        <v>85918.450000000012</v>
      </c>
      <c r="C68" s="6">
        <v>44527.509999999987</v>
      </c>
      <c r="D68" s="27">
        <v>48.291707517156169</v>
      </c>
      <c r="M68" s="25" t="s">
        <v>48</v>
      </c>
      <c r="N68" s="35">
        <v>25</v>
      </c>
    </row>
    <row r="69" spans="1:14">
      <c r="A69" s="25" t="s">
        <v>49</v>
      </c>
      <c r="B69" s="6">
        <v>45890.689999999995</v>
      </c>
      <c r="C69" s="6">
        <v>19735.829999999998</v>
      </c>
      <c r="D69" s="27">
        <v>45.556376332006259</v>
      </c>
      <c r="M69" s="25" t="s">
        <v>67</v>
      </c>
      <c r="N69" s="35">
        <v>200</v>
      </c>
    </row>
    <row r="70" spans="1:14">
      <c r="A70" s="25" t="s">
        <v>10</v>
      </c>
      <c r="B70" s="6">
        <v>34795.369999999995</v>
      </c>
      <c r="C70" s="6">
        <v>16251.79</v>
      </c>
      <c r="D70" s="27">
        <v>42.612161955724282</v>
      </c>
    </row>
    <row r="71" spans="1:14">
      <c r="A71" s="25" t="s">
        <v>24</v>
      </c>
      <c r="B71" s="6">
        <v>53405.12999999999</v>
      </c>
      <c r="C71" s="6">
        <v>20896.810000000001</v>
      </c>
      <c r="D71" s="27">
        <v>38.051931343721861</v>
      </c>
    </row>
    <row r="72" spans="1:14">
      <c r="A72" s="25" t="s">
        <v>45</v>
      </c>
      <c r="B72" s="6">
        <v>41871.17</v>
      </c>
      <c r="C72" s="6">
        <v>17063.830000000002</v>
      </c>
      <c r="D72" s="27">
        <v>40.795062872483129</v>
      </c>
    </row>
    <row r="73" spans="1:14">
      <c r="A73" s="25" t="s">
        <v>44</v>
      </c>
      <c r="B73" s="6">
        <v>53567.32</v>
      </c>
      <c r="C73" s="6">
        <v>22044.069999999996</v>
      </c>
      <c r="D73" s="27">
        <v>37.883936789406036</v>
      </c>
    </row>
    <row r="74" spans="1:14">
      <c r="A74" s="25" t="s">
        <v>56</v>
      </c>
      <c r="B74" s="6">
        <v>16278.21</v>
      </c>
      <c r="C74" s="6">
        <v>8556.23</v>
      </c>
      <c r="D74" s="27">
        <v>49.311630194368306</v>
      </c>
    </row>
    <row r="75" spans="1:14">
      <c r="A75" s="25" t="s">
        <v>52</v>
      </c>
      <c r="B75" s="6">
        <v>34727.339999999997</v>
      </c>
      <c r="C75" s="6">
        <v>16300.189999999999</v>
      </c>
      <c r="D75" s="27">
        <v>43.482540738944245</v>
      </c>
    </row>
    <row r="76" spans="1:14">
      <c r="A76" s="25" t="s">
        <v>42</v>
      </c>
      <c r="B76" s="6">
        <v>22236.03</v>
      </c>
      <c r="C76" s="6">
        <v>11044.420000000002</v>
      </c>
      <c r="D76" s="27">
        <v>44.854915433238318</v>
      </c>
    </row>
    <row r="77" spans="1:14">
      <c r="A77" s="25" t="s">
        <v>20</v>
      </c>
      <c r="B77" s="6">
        <v>45468.039999999994</v>
      </c>
      <c r="C77" s="6">
        <v>25408.89</v>
      </c>
      <c r="D77" s="27">
        <v>59.035464776784593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205C3-56DA-498A-9FA5-F959047EB41D}">
  <sheetPr>
    <tabColor rgb="FFFFFF00"/>
  </sheetPr>
  <dimension ref="A3:AM92"/>
  <sheetViews>
    <sheetView workbookViewId="0">
      <selection activeCell="AE38" sqref="AE38"/>
    </sheetView>
  </sheetViews>
  <sheetFormatPr defaultRowHeight="12.75"/>
  <cols>
    <col min="1" max="1" width="26.85546875" bestFit="1" customWidth="1"/>
    <col min="2" max="2" width="8.7109375" bestFit="1" customWidth="1"/>
    <col min="3" max="8" width="6.7109375" bestFit="1" customWidth="1"/>
    <col min="9" max="9" width="11.7109375" bestFit="1" customWidth="1"/>
    <col min="10" max="10" width="12.28515625" bestFit="1" customWidth="1"/>
    <col min="11" max="11" width="26.85546875" bestFit="1" customWidth="1"/>
    <col min="12" max="12" width="8.7109375" bestFit="1" customWidth="1"/>
    <col min="13" max="18" width="6.7109375" bestFit="1" customWidth="1"/>
    <col min="19" max="19" width="11.7109375" bestFit="1" customWidth="1"/>
    <col min="20" max="20" width="11" customWidth="1"/>
    <col min="21" max="21" width="13.140625" bestFit="1" customWidth="1"/>
    <col min="22" max="29" width="12.28515625" bestFit="1" customWidth="1"/>
    <col min="30" max="30" width="11.85546875" bestFit="1" customWidth="1"/>
    <col min="31" max="31" width="14.28515625" bestFit="1" customWidth="1"/>
    <col min="32" max="32" width="8.7109375" bestFit="1" customWidth="1"/>
    <col min="33" max="33" width="4.5703125" bestFit="1" customWidth="1"/>
    <col min="34" max="34" width="5.85546875" bestFit="1" customWidth="1"/>
    <col min="35" max="35" width="5.5703125" bestFit="1" customWidth="1"/>
    <col min="36" max="36" width="4.28515625" bestFit="1" customWidth="1"/>
    <col min="37" max="37" width="6.140625" bestFit="1" customWidth="1"/>
    <col min="38" max="38" width="6.42578125" bestFit="1" customWidth="1"/>
    <col min="39" max="39" width="11.7109375" bestFit="1" customWidth="1"/>
    <col min="40" max="40" width="7.42578125" bestFit="1" customWidth="1"/>
    <col min="41" max="41" width="9.140625" bestFit="1" customWidth="1"/>
    <col min="42" max="42" width="6.7109375" bestFit="1" customWidth="1"/>
    <col min="43" max="43" width="8.85546875" bestFit="1" customWidth="1"/>
    <col min="44" max="44" width="11" bestFit="1" customWidth="1"/>
  </cols>
  <sheetData>
    <row r="3" spans="1:39">
      <c r="A3" s="24" t="s">
        <v>68</v>
      </c>
      <c r="B3" s="24" t="s">
        <v>1</v>
      </c>
      <c r="K3" s="24" t="s">
        <v>68</v>
      </c>
      <c r="L3" s="24" t="s">
        <v>1</v>
      </c>
      <c r="U3" s="24" t="s">
        <v>68</v>
      </c>
      <c r="V3" s="24" t="s">
        <v>1</v>
      </c>
      <c r="AE3" s="24" t="s">
        <v>71</v>
      </c>
      <c r="AF3" s="24" t="s">
        <v>1</v>
      </c>
    </row>
    <row r="4" spans="1:39">
      <c r="A4" s="24" t="s">
        <v>4</v>
      </c>
      <c r="B4" t="s">
        <v>38</v>
      </c>
      <c r="C4" t="s">
        <v>29</v>
      </c>
      <c r="D4" t="s">
        <v>31</v>
      </c>
      <c r="E4" t="s">
        <v>8</v>
      </c>
      <c r="F4" t="s">
        <v>18</v>
      </c>
      <c r="G4" t="s">
        <v>13</v>
      </c>
      <c r="H4" t="s">
        <v>48</v>
      </c>
      <c r="I4" t="s">
        <v>67</v>
      </c>
      <c r="K4" s="24" t="s">
        <v>72</v>
      </c>
      <c r="L4" t="s">
        <v>38</v>
      </c>
      <c r="M4" t="s">
        <v>29</v>
      </c>
      <c r="N4" t="s">
        <v>31</v>
      </c>
      <c r="O4" t="s">
        <v>8</v>
      </c>
      <c r="P4" t="s">
        <v>18</v>
      </c>
      <c r="Q4" t="s">
        <v>13</v>
      </c>
      <c r="R4" t="s">
        <v>48</v>
      </c>
      <c r="S4" t="s">
        <v>67</v>
      </c>
      <c r="U4" s="24" t="s">
        <v>0</v>
      </c>
      <c r="V4" t="s">
        <v>38</v>
      </c>
      <c r="W4" t="s">
        <v>29</v>
      </c>
      <c r="X4" t="s">
        <v>31</v>
      </c>
      <c r="Y4" t="s">
        <v>8</v>
      </c>
      <c r="Z4" t="s">
        <v>18</v>
      </c>
      <c r="AA4" t="s">
        <v>13</v>
      </c>
      <c r="AB4" t="s">
        <v>48</v>
      </c>
      <c r="AC4" t="s">
        <v>67</v>
      </c>
      <c r="AE4" s="24" t="s">
        <v>72</v>
      </c>
      <c r="AF4" t="s">
        <v>38</v>
      </c>
      <c r="AG4" t="s">
        <v>29</v>
      </c>
      <c r="AH4" t="s">
        <v>31</v>
      </c>
      <c r="AI4" t="s">
        <v>8</v>
      </c>
      <c r="AJ4" t="s">
        <v>18</v>
      </c>
      <c r="AK4" t="s">
        <v>13</v>
      </c>
      <c r="AL4" t="s">
        <v>48</v>
      </c>
      <c r="AM4" t="s">
        <v>67</v>
      </c>
    </row>
    <row r="5" spans="1:39">
      <c r="A5" s="25" t="s">
        <v>11</v>
      </c>
      <c r="B5" s="6">
        <v>56127.34</v>
      </c>
      <c r="C5" s="6">
        <v>60368.94</v>
      </c>
      <c r="D5" s="6">
        <v>41349.880000000005</v>
      </c>
      <c r="E5" s="6">
        <v>26814.38</v>
      </c>
      <c r="F5" s="6">
        <v>24310.280000000002</v>
      </c>
      <c r="G5" s="6">
        <v>56046.919999999991</v>
      </c>
      <c r="H5" s="6">
        <v>37274.969999999994</v>
      </c>
      <c r="I5" s="6">
        <v>302292.70999999996</v>
      </c>
      <c r="K5" s="25" t="s">
        <v>14</v>
      </c>
      <c r="L5" s="6">
        <v>38130.280000000006</v>
      </c>
      <c r="M5" s="6">
        <v>42301.259999999995</v>
      </c>
      <c r="N5" s="6">
        <v>32385.64</v>
      </c>
      <c r="O5" s="6">
        <v>21695.78</v>
      </c>
      <c r="P5" s="6">
        <v>7985.4500000000007</v>
      </c>
      <c r="Q5" s="6">
        <v>19522.830000000002</v>
      </c>
      <c r="R5" s="6">
        <v>26210.17</v>
      </c>
      <c r="S5" s="6">
        <v>188231.41</v>
      </c>
      <c r="U5" s="25" t="s">
        <v>36</v>
      </c>
      <c r="V5" s="6">
        <v>12413.08</v>
      </c>
      <c r="W5" s="6">
        <v>29054.199999999997</v>
      </c>
      <c r="X5" s="6">
        <v>29209.95</v>
      </c>
      <c r="Y5" s="6">
        <v>12296.67</v>
      </c>
      <c r="Z5" s="6">
        <v>13962.240000000002</v>
      </c>
      <c r="AA5" s="6">
        <v>3336.38</v>
      </c>
      <c r="AB5" s="6">
        <v>13425.12</v>
      </c>
      <c r="AC5" s="6">
        <v>113697.64</v>
      </c>
      <c r="AE5" s="25" t="s">
        <v>14</v>
      </c>
      <c r="AF5" s="35">
        <v>6</v>
      </c>
      <c r="AG5" s="35">
        <v>13</v>
      </c>
      <c r="AH5" s="35">
        <v>6</v>
      </c>
      <c r="AI5" s="35">
        <v>5</v>
      </c>
      <c r="AJ5" s="35">
        <v>2</v>
      </c>
      <c r="AK5" s="35">
        <v>3</v>
      </c>
      <c r="AL5" s="35">
        <v>5</v>
      </c>
      <c r="AM5" s="35">
        <v>40</v>
      </c>
    </row>
    <row r="6" spans="1:39">
      <c r="A6" s="25" t="s">
        <v>27</v>
      </c>
      <c r="B6" s="6">
        <v>5637.8899999999994</v>
      </c>
      <c r="C6" s="6">
        <v>26021.489999999998</v>
      </c>
      <c r="D6" s="6">
        <v>6943.06</v>
      </c>
      <c r="E6" s="6">
        <v>31380.160000000003</v>
      </c>
      <c r="F6" s="6">
        <v>22118.84</v>
      </c>
      <c r="G6" s="6"/>
      <c r="H6" s="6">
        <v>32858.909999999996</v>
      </c>
      <c r="I6" s="6">
        <v>124960.35</v>
      </c>
      <c r="K6" s="26" t="s">
        <v>26</v>
      </c>
      <c r="L6" s="6"/>
      <c r="M6" s="6">
        <v>11558.529999999999</v>
      </c>
      <c r="N6" s="6">
        <v>20484.71</v>
      </c>
      <c r="O6" s="6">
        <v>8721.92</v>
      </c>
      <c r="P6" s="6">
        <v>1269.5999999999999</v>
      </c>
      <c r="Q6" s="6">
        <v>1732.96</v>
      </c>
      <c r="R6" s="6"/>
      <c r="S6" s="6">
        <v>43767.719999999994</v>
      </c>
      <c r="U6" s="25" t="s">
        <v>25</v>
      </c>
      <c r="V6" s="6"/>
      <c r="W6" s="6">
        <v>14139.32</v>
      </c>
      <c r="X6" s="6">
        <v>14990.119999999999</v>
      </c>
      <c r="Y6" s="6">
        <v>37074.160000000003</v>
      </c>
      <c r="Z6" s="6">
        <v>14682.960000000001</v>
      </c>
      <c r="AA6" s="6"/>
      <c r="AB6" s="6">
        <v>16766.98</v>
      </c>
      <c r="AC6" s="6">
        <v>97653.540000000008</v>
      </c>
      <c r="AE6" s="26" t="s">
        <v>26</v>
      </c>
      <c r="AF6" s="35"/>
      <c r="AG6" s="35">
        <v>4</v>
      </c>
      <c r="AH6" s="35">
        <v>3</v>
      </c>
      <c r="AI6" s="35">
        <v>1</v>
      </c>
      <c r="AJ6" s="35">
        <v>1</v>
      </c>
      <c r="AK6" s="35">
        <v>1</v>
      </c>
      <c r="AL6" s="35"/>
      <c r="AM6" s="35">
        <v>10</v>
      </c>
    </row>
    <row r="7" spans="1:39">
      <c r="A7" s="25" t="s">
        <v>33</v>
      </c>
      <c r="B7" s="6">
        <v>21081.010000000002</v>
      </c>
      <c r="C7" s="6">
        <v>24118.97</v>
      </c>
      <c r="D7" s="6">
        <v>20679.199999999997</v>
      </c>
      <c r="E7" s="6">
        <v>37981.509999999995</v>
      </c>
      <c r="F7" s="6">
        <v>19384.460000000003</v>
      </c>
      <c r="G7" s="6"/>
      <c r="H7" s="6"/>
      <c r="I7" s="6">
        <v>123245.15</v>
      </c>
      <c r="K7" s="26" t="s">
        <v>15</v>
      </c>
      <c r="L7" s="6">
        <v>17829.61</v>
      </c>
      <c r="M7" s="6">
        <v>17552.439999999999</v>
      </c>
      <c r="N7" s="6"/>
      <c r="O7" s="6">
        <v>5961.9</v>
      </c>
      <c r="P7" s="6"/>
      <c r="Q7" s="6">
        <v>17789.870000000003</v>
      </c>
      <c r="R7" s="6">
        <v>21222.67</v>
      </c>
      <c r="S7" s="6">
        <v>80356.490000000005</v>
      </c>
      <c r="U7" s="25" t="s">
        <v>28</v>
      </c>
      <c r="V7" s="6">
        <v>14270.24</v>
      </c>
      <c r="W7" s="6">
        <v>11884.59</v>
      </c>
      <c r="X7" s="6">
        <v>2299.36</v>
      </c>
      <c r="Y7" s="6">
        <v>11756.31</v>
      </c>
      <c r="Z7" s="6">
        <v>12114.619999999999</v>
      </c>
      <c r="AA7" s="6">
        <v>2333.6800000000003</v>
      </c>
      <c r="AB7" s="6">
        <v>14810.849999999999</v>
      </c>
      <c r="AC7" s="6">
        <v>69469.649999999994</v>
      </c>
      <c r="AE7" s="26" t="s">
        <v>15</v>
      </c>
      <c r="AF7" s="35">
        <v>3</v>
      </c>
      <c r="AG7" s="35">
        <v>4</v>
      </c>
      <c r="AH7" s="35"/>
      <c r="AI7" s="35">
        <v>2</v>
      </c>
      <c r="AJ7" s="35"/>
      <c r="AK7" s="35">
        <v>2</v>
      </c>
      <c r="AL7" s="35">
        <v>3</v>
      </c>
      <c r="AM7" s="35">
        <v>14</v>
      </c>
    </row>
    <row r="8" spans="1:39">
      <c r="A8" s="25" t="s">
        <v>21</v>
      </c>
      <c r="B8" s="6">
        <v>40165.43</v>
      </c>
      <c r="C8" s="6">
        <v>23197.769999999997</v>
      </c>
      <c r="D8" s="6">
        <v>32201.440000000002</v>
      </c>
      <c r="E8" s="6">
        <v>11386.210000000001</v>
      </c>
      <c r="F8" s="6">
        <v>39901.069999999992</v>
      </c>
      <c r="G8" s="6">
        <v>11512.08</v>
      </c>
      <c r="H8" s="6">
        <v>14401.650000000001</v>
      </c>
      <c r="I8" s="6">
        <v>172765.64999999997</v>
      </c>
      <c r="K8" s="26" t="s">
        <v>45</v>
      </c>
      <c r="L8" s="6">
        <v>16702.3</v>
      </c>
      <c r="M8" s="6">
        <v>5939.87</v>
      </c>
      <c r="N8" s="6">
        <v>11900.93</v>
      </c>
      <c r="O8" s="6">
        <v>612.22</v>
      </c>
      <c r="P8" s="6">
        <v>6715.85</v>
      </c>
      <c r="Q8" s="6"/>
      <c r="R8" s="6"/>
      <c r="S8" s="6">
        <v>41871.17</v>
      </c>
      <c r="U8" s="25" t="s">
        <v>39</v>
      </c>
      <c r="V8" s="6">
        <v>7547.82</v>
      </c>
      <c r="W8" s="6">
        <v>3799.2799999999997</v>
      </c>
      <c r="X8" s="6">
        <v>18477.740000000002</v>
      </c>
      <c r="Y8" s="6">
        <v>5744.71</v>
      </c>
      <c r="Z8" s="6">
        <v>35247.199999999997</v>
      </c>
      <c r="AA8" s="6">
        <v>32301.35</v>
      </c>
      <c r="AB8" s="6">
        <v>14667.37</v>
      </c>
      <c r="AC8" s="6">
        <v>117785.47</v>
      </c>
      <c r="AE8" s="26" t="s">
        <v>45</v>
      </c>
      <c r="AF8" s="35">
        <v>2</v>
      </c>
      <c r="AG8" s="35">
        <v>2</v>
      </c>
      <c r="AH8" s="35">
        <v>3</v>
      </c>
      <c r="AI8" s="35">
        <v>1</v>
      </c>
      <c r="AJ8" s="35">
        <v>1</v>
      </c>
      <c r="AK8" s="35"/>
      <c r="AL8" s="35"/>
      <c r="AM8" s="35">
        <v>9</v>
      </c>
    </row>
    <row r="9" spans="1:39">
      <c r="A9" s="25" t="s">
        <v>47</v>
      </c>
      <c r="B9" s="6">
        <v>25627.55</v>
      </c>
      <c r="C9" s="6">
        <v>2839.65</v>
      </c>
      <c r="D9" s="6">
        <v>18957.48</v>
      </c>
      <c r="E9" s="6">
        <v>18149.609999999997</v>
      </c>
      <c r="F9" s="6">
        <v>3304.9</v>
      </c>
      <c r="G9" s="6">
        <v>24081.399999999998</v>
      </c>
      <c r="H9" s="6">
        <v>36680.11</v>
      </c>
      <c r="I9" s="6">
        <v>129640.69999999998</v>
      </c>
      <c r="K9" s="26" t="s">
        <v>42</v>
      </c>
      <c r="L9" s="6">
        <v>3598.37</v>
      </c>
      <c r="M9" s="6">
        <v>7250.42</v>
      </c>
      <c r="N9" s="6"/>
      <c r="O9" s="6">
        <v>6399.74</v>
      </c>
      <c r="P9" s="6"/>
      <c r="Q9" s="6"/>
      <c r="R9" s="6">
        <v>4987.5</v>
      </c>
      <c r="S9" s="6">
        <v>22236.03</v>
      </c>
      <c r="U9" s="25" t="s">
        <v>7</v>
      </c>
      <c r="V9" s="6">
        <v>9126.0499999999993</v>
      </c>
      <c r="W9" s="6">
        <v>3500.1099999999997</v>
      </c>
      <c r="X9" s="6">
        <v>8711.59</v>
      </c>
      <c r="Y9" s="6">
        <v>7360.77</v>
      </c>
      <c r="Z9" s="6">
        <v>13720.84</v>
      </c>
      <c r="AA9" s="6">
        <v>8786.65</v>
      </c>
      <c r="AB9" s="6"/>
      <c r="AC9" s="6">
        <v>51206.01</v>
      </c>
      <c r="AE9" s="26" t="s">
        <v>42</v>
      </c>
      <c r="AF9" s="35">
        <v>1</v>
      </c>
      <c r="AG9" s="35">
        <v>3</v>
      </c>
      <c r="AH9" s="35"/>
      <c r="AI9" s="35">
        <v>1</v>
      </c>
      <c r="AJ9" s="35"/>
      <c r="AK9" s="35"/>
      <c r="AL9" s="35">
        <v>2</v>
      </c>
      <c r="AM9" s="35">
        <v>7</v>
      </c>
    </row>
    <row r="10" spans="1:39">
      <c r="A10" s="25" t="s">
        <v>16</v>
      </c>
      <c r="B10" s="6"/>
      <c r="C10" s="6">
        <v>34426.36</v>
      </c>
      <c r="D10" s="6">
        <v>26332.41</v>
      </c>
      <c r="E10" s="6">
        <v>20712.61</v>
      </c>
      <c r="F10" s="6">
        <v>14653.41</v>
      </c>
      <c r="G10" s="6">
        <v>14843.64</v>
      </c>
      <c r="H10" s="6">
        <v>17267.219999999998</v>
      </c>
      <c r="I10" s="6">
        <v>128235.65000000001</v>
      </c>
      <c r="K10" s="25" t="s">
        <v>9</v>
      </c>
      <c r="L10" s="6">
        <v>47298.369999999995</v>
      </c>
      <c r="M10" s="6">
        <v>20577.79</v>
      </c>
      <c r="N10" s="6">
        <v>23424.33</v>
      </c>
      <c r="O10" s="6">
        <v>38639.910000000003</v>
      </c>
      <c r="P10" s="6">
        <v>38063.14</v>
      </c>
      <c r="Q10" s="6">
        <v>11068.78</v>
      </c>
      <c r="R10" s="6">
        <v>16218.43</v>
      </c>
      <c r="S10" s="6">
        <v>195290.74999999997</v>
      </c>
      <c r="U10" s="25" t="s">
        <v>17</v>
      </c>
      <c r="V10" s="6">
        <v>26278.33</v>
      </c>
      <c r="W10" s="6">
        <v>8559.49</v>
      </c>
      <c r="X10" s="6">
        <v>7708.19</v>
      </c>
      <c r="Y10" s="6">
        <v>22113.72</v>
      </c>
      <c r="Z10" s="6">
        <v>9088.41</v>
      </c>
      <c r="AA10" s="6">
        <v>19646.2</v>
      </c>
      <c r="AB10" s="6">
        <v>17669.919999999998</v>
      </c>
      <c r="AC10" s="6">
        <v>111064.26</v>
      </c>
      <c r="AE10" s="25" t="s">
        <v>9</v>
      </c>
      <c r="AF10" s="35">
        <v>9</v>
      </c>
      <c r="AG10" s="35">
        <v>5</v>
      </c>
      <c r="AH10" s="35">
        <v>5</v>
      </c>
      <c r="AI10" s="35">
        <v>8</v>
      </c>
      <c r="AJ10" s="35">
        <v>7</v>
      </c>
      <c r="AK10" s="35">
        <v>4</v>
      </c>
      <c r="AL10" s="35">
        <v>3</v>
      </c>
      <c r="AM10" s="35">
        <v>41</v>
      </c>
    </row>
    <row r="11" spans="1:39">
      <c r="A11" s="25" t="s">
        <v>67</v>
      </c>
      <c r="B11" s="6">
        <v>148639.21999999997</v>
      </c>
      <c r="C11" s="6">
        <v>170973.18</v>
      </c>
      <c r="D11" s="6">
        <v>146463.47</v>
      </c>
      <c r="E11" s="6">
        <v>146424.48000000001</v>
      </c>
      <c r="F11" s="6">
        <v>123672.95999999999</v>
      </c>
      <c r="G11" s="6">
        <v>106484.03999999998</v>
      </c>
      <c r="H11" s="6">
        <v>138482.85999999999</v>
      </c>
      <c r="I11" s="6">
        <v>981140.20999999985</v>
      </c>
      <c r="K11" s="26" t="s">
        <v>50</v>
      </c>
      <c r="L11" s="6">
        <v>1622.03</v>
      </c>
      <c r="M11" s="6">
        <v>10382.48</v>
      </c>
      <c r="N11" s="6">
        <v>9380.16</v>
      </c>
      <c r="O11" s="6">
        <v>11307.89</v>
      </c>
      <c r="P11" s="6">
        <v>1366.9</v>
      </c>
      <c r="Q11" s="6">
        <v>9743.4600000000009</v>
      </c>
      <c r="R11" s="6"/>
      <c r="S11" s="6">
        <v>43802.92</v>
      </c>
      <c r="U11" s="25" t="s">
        <v>37</v>
      </c>
      <c r="V11" s="6">
        <v>29817.769999999997</v>
      </c>
      <c r="W11" s="6">
        <v>27946.68</v>
      </c>
      <c r="X11" s="6">
        <v>11010.93</v>
      </c>
      <c r="Y11" s="6">
        <v>6399.74</v>
      </c>
      <c r="Z11" s="6">
        <v>6881.44</v>
      </c>
      <c r="AA11" s="6">
        <v>2884.83</v>
      </c>
      <c r="AB11" s="6">
        <v>9598.06</v>
      </c>
      <c r="AC11" s="6">
        <v>94539.450000000012</v>
      </c>
      <c r="AE11" s="26" t="s">
        <v>50</v>
      </c>
      <c r="AF11" s="35">
        <v>1</v>
      </c>
      <c r="AG11" s="35">
        <v>3</v>
      </c>
      <c r="AH11" s="35">
        <v>1</v>
      </c>
      <c r="AI11" s="35">
        <v>2</v>
      </c>
      <c r="AJ11" s="35">
        <v>1</v>
      </c>
      <c r="AK11" s="35">
        <v>2</v>
      </c>
      <c r="AL11" s="35"/>
      <c r="AM11" s="35">
        <v>10</v>
      </c>
    </row>
    <row r="12" spans="1:39">
      <c r="K12" s="26" t="s">
        <v>46</v>
      </c>
      <c r="L12" s="6">
        <v>20131.339999999997</v>
      </c>
      <c r="M12" s="6">
        <v>10195.31</v>
      </c>
      <c r="N12" s="6">
        <v>8436.59</v>
      </c>
      <c r="O12" s="6">
        <v>3322.06</v>
      </c>
      <c r="P12" s="6">
        <v>3304.9</v>
      </c>
      <c r="Q12" s="6">
        <v>1147.8399999999999</v>
      </c>
      <c r="R12" s="6">
        <v>12430.26</v>
      </c>
      <c r="S12" s="6">
        <v>58968.299999999988</v>
      </c>
      <c r="U12" s="25" t="s">
        <v>40</v>
      </c>
      <c r="V12" s="6">
        <v>17754.400000000001</v>
      </c>
      <c r="W12" s="6">
        <v>1619.29</v>
      </c>
      <c r="X12" s="6">
        <v>23686.65</v>
      </c>
      <c r="Y12" s="6">
        <v>2235.4</v>
      </c>
      <c r="Z12" s="6"/>
      <c r="AA12" s="6">
        <v>3338.63</v>
      </c>
      <c r="AB12" s="6">
        <v>13982.44</v>
      </c>
      <c r="AC12" s="6">
        <v>62616.810000000005</v>
      </c>
      <c r="AE12" s="26" t="s">
        <v>46</v>
      </c>
      <c r="AF12" s="35">
        <v>3</v>
      </c>
      <c r="AG12" s="35">
        <v>2</v>
      </c>
      <c r="AH12" s="35">
        <v>2</v>
      </c>
      <c r="AI12" s="35">
        <v>1</v>
      </c>
      <c r="AJ12" s="35">
        <v>1</v>
      </c>
      <c r="AK12" s="35">
        <v>1</v>
      </c>
      <c r="AL12" s="35">
        <v>2</v>
      </c>
      <c r="AM12" s="35">
        <v>12</v>
      </c>
    </row>
    <row r="13" spans="1:39">
      <c r="K13" s="26" t="s">
        <v>53</v>
      </c>
      <c r="L13" s="6">
        <v>11839.34</v>
      </c>
      <c r="M13" s="6"/>
      <c r="N13" s="6">
        <v>5607.58</v>
      </c>
      <c r="O13" s="6">
        <v>8812.16</v>
      </c>
      <c r="P13" s="6">
        <v>27499.43</v>
      </c>
      <c r="Q13" s="6">
        <v>177.48</v>
      </c>
      <c r="R13" s="6">
        <v>3788.17</v>
      </c>
      <c r="S13" s="6">
        <v>57724.159999999996</v>
      </c>
      <c r="U13" s="25" t="s">
        <v>54</v>
      </c>
      <c r="V13" s="6">
        <v>15284.43</v>
      </c>
      <c r="W13" s="6">
        <v>11150.05</v>
      </c>
      <c r="X13" s="6">
        <v>9092.65</v>
      </c>
      <c r="Y13" s="6">
        <v>11316</v>
      </c>
      <c r="Z13" s="6"/>
      <c r="AA13" s="6">
        <v>2727.34</v>
      </c>
      <c r="AB13" s="6">
        <v>15991.59</v>
      </c>
      <c r="AC13" s="6">
        <v>65562.06</v>
      </c>
      <c r="AE13" s="26" t="s">
        <v>53</v>
      </c>
      <c r="AF13" s="35">
        <v>2</v>
      </c>
      <c r="AG13" s="35"/>
      <c r="AH13" s="35">
        <v>2</v>
      </c>
      <c r="AI13" s="35">
        <v>2</v>
      </c>
      <c r="AJ13" s="35">
        <v>4</v>
      </c>
      <c r="AK13" s="35">
        <v>1</v>
      </c>
      <c r="AL13" s="35">
        <v>1</v>
      </c>
      <c r="AM13" s="35">
        <v>12</v>
      </c>
    </row>
    <row r="14" spans="1:39">
      <c r="K14" s="26" t="s">
        <v>10</v>
      </c>
      <c r="L14" s="6">
        <v>13705.66</v>
      </c>
      <c r="M14" s="6"/>
      <c r="N14" s="6"/>
      <c r="O14" s="6">
        <v>15197.8</v>
      </c>
      <c r="P14" s="6">
        <v>5891.91</v>
      </c>
      <c r="Q14" s="6"/>
      <c r="R14" s="6"/>
      <c r="S14" s="6">
        <v>34795.369999999995</v>
      </c>
      <c r="U14" s="25" t="s">
        <v>51</v>
      </c>
      <c r="V14" s="6">
        <v>13470.73</v>
      </c>
      <c r="W14" s="6">
        <v>14491.78</v>
      </c>
      <c r="X14" s="6">
        <v>8924.4500000000007</v>
      </c>
      <c r="Y14" s="6">
        <v>17504.37</v>
      </c>
      <c r="Z14" s="6">
        <v>12083.34</v>
      </c>
      <c r="AA14" s="6">
        <v>21195.360000000001</v>
      </c>
      <c r="AB14" s="6"/>
      <c r="AC14" s="6">
        <v>87670.03</v>
      </c>
      <c r="AE14" s="26" t="s">
        <v>10</v>
      </c>
      <c r="AF14" s="35">
        <v>3</v>
      </c>
      <c r="AG14" s="35"/>
      <c r="AH14" s="35"/>
      <c r="AI14" s="35">
        <v>3</v>
      </c>
      <c r="AJ14" s="35">
        <v>1</v>
      </c>
      <c r="AK14" s="35"/>
      <c r="AL14" s="35"/>
      <c r="AM14" s="35">
        <v>7</v>
      </c>
    </row>
    <row r="15" spans="1:39">
      <c r="A15" s="24" t="s">
        <v>69</v>
      </c>
      <c r="B15" s="24" t="s">
        <v>1</v>
      </c>
      <c r="K15" s="25" t="s">
        <v>23</v>
      </c>
      <c r="L15" s="6">
        <v>24954.47</v>
      </c>
      <c r="M15" s="6">
        <v>24981.61</v>
      </c>
      <c r="N15" s="6">
        <v>24790.14</v>
      </c>
      <c r="O15" s="6">
        <v>39902.559999999998</v>
      </c>
      <c r="P15" s="6">
        <v>17670.46</v>
      </c>
      <c r="Q15" s="6">
        <v>14892.19</v>
      </c>
      <c r="R15" s="6">
        <v>23015.149999999998</v>
      </c>
      <c r="S15" s="6">
        <v>170206.58000000002</v>
      </c>
      <c r="U15" s="25" t="s">
        <v>12</v>
      </c>
      <c r="V15" s="6">
        <v>2676.37</v>
      </c>
      <c r="W15" s="6">
        <v>24352.05</v>
      </c>
      <c r="X15" s="6">
        <v>12351.84</v>
      </c>
      <c r="Y15" s="6">
        <v>2770.26</v>
      </c>
      <c r="Z15" s="6"/>
      <c r="AA15" s="6">
        <v>8590.85</v>
      </c>
      <c r="AB15" s="6">
        <v>13170.82</v>
      </c>
      <c r="AC15" s="6">
        <v>63912.189999999995</v>
      </c>
      <c r="AE15" s="25" t="s">
        <v>23</v>
      </c>
      <c r="AF15" s="35">
        <v>5</v>
      </c>
      <c r="AG15" s="35">
        <v>4</v>
      </c>
      <c r="AH15" s="35">
        <v>4</v>
      </c>
      <c r="AI15" s="35">
        <v>9</v>
      </c>
      <c r="AJ15" s="35">
        <v>4</v>
      </c>
      <c r="AK15" s="35">
        <v>4</v>
      </c>
      <c r="AL15" s="35">
        <v>4</v>
      </c>
      <c r="AM15" s="35">
        <v>34</v>
      </c>
    </row>
    <row r="16" spans="1:39">
      <c r="A16" s="24" t="s">
        <v>4</v>
      </c>
      <c r="B16" t="s">
        <v>38</v>
      </c>
      <c r="C16" t="s">
        <v>29</v>
      </c>
      <c r="D16" t="s">
        <v>31</v>
      </c>
      <c r="E16" t="s">
        <v>8</v>
      </c>
      <c r="F16" t="s">
        <v>18</v>
      </c>
      <c r="G16" t="s">
        <v>13</v>
      </c>
      <c r="H16" t="s">
        <v>48</v>
      </c>
      <c r="I16" t="s">
        <v>67</v>
      </c>
      <c r="K16" s="26" t="s">
        <v>55</v>
      </c>
      <c r="L16" s="6">
        <v>8482.77</v>
      </c>
      <c r="M16" s="6"/>
      <c r="N16" s="6"/>
      <c r="O16" s="6">
        <v>9937.5499999999993</v>
      </c>
      <c r="P16" s="6"/>
      <c r="Q16" s="6">
        <v>6252.79</v>
      </c>
      <c r="R16" s="6">
        <v>7246.84</v>
      </c>
      <c r="S16" s="6">
        <v>31919.95</v>
      </c>
      <c r="U16" s="25" t="s">
        <v>22</v>
      </c>
      <c r="V16" s="6"/>
      <c r="W16" s="6">
        <v>20476.34</v>
      </c>
      <c r="X16" s="6"/>
      <c r="Y16" s="6">
        <v>9852.369999999999</v>
      </c>
      <c r="Z16" s="6">
        <v>5891.91</v>
      </c>
      <c r="AA16" s="6">
        <v>1342.77</v>
      </c>
      <c r="AB16" s="6">
        <v>8399.7099999999991</v>
      </c>
      <c r="AC16" s="6">
        <v>45963.099999999991</v>
      </c>
      <c r="AE16" s="26" t="s">
        <v>55</v>
      </c>
      <c r="AF16" s="35">
        <v>2</v>
      </c>
      <c r="AG16" s="35"/>
      <c r="AH16" s="35"/>
      <c r="AI16" s="35">
        <v>1</v>
      </c>
      <c r="AJ16" s="35"/>
      <c r="AK16" s="35">
        <v>1</v>
      </c>
      <c r="AL16" s="35">
        <v>1</v>
      </c>
      <c r="AM16" s="35">
        <v>5</v>
      </c>
    </row>
    <row r="17" spans="1:39">
      <c r="A17" s="25" t="s">
        <v>11</v>
      </c>
      <c r="B17" s="6">
        <v>31615.550000000003</v>
      </c>
      <c r="C17" s="6">
        <v>17589.91</v>
      </c>
      <c r="D17" s="6">
        <v>22655.31</v>
      </c>
      <c r="E17" s="6">
        <v>14178.890000000003</v>
      </c>
      <c r="F17" s="6">
        <v>10101.450000000001</v>
      </c>
      <c r="G17" s="6">
        <v>22927.14</v>
      </c>
      <c r="H17" s="6">
        <v>22118.010000000002</v>
      </c>
      <c r="I17" s="6">
        <v>141186.26</v>
      </c>
      <c r="K17" s="26" t="s">
        <v>30</v>
      </c>
      <c r="L17" s="6">
        <v>10645.240000000002</v>
      </c>
      <c r="M17" s="6">
        <v>2361.0700000000002</v>
      </c>
      <c r="N17" s="6">
        <v>2832.91</v>
      </c>
      <c r="O17" s="6">
        <v>1021.24</v>
      </c>
      <c r="P17" s="6"/>
      <c r="Q17" s="6">
        <v>2664</v>
      </c>
      <c r="R17" s="6">
        <v>11789.72</v>
      </c>
      <c r="S17" s="6">
        <v>31314.18</v>
      </c>
      <c r="U17" s="25" t="s">
        <v>67</v>
      </c>
      <c r="V17" s="6">
        <v>148639.22</v>
      </c>
      <c r="W17" s="6">
        <v>170973.18</v>
      </c>
      <c r="X17" s="6">
        <v>146463.47</v>
      </c>
      <c r="Y17" s="6">
        <v>146424.48000000001</v>
      </c>
      <c r="Z17" s="6">
        <v>123672.96000000001</v>
      </c>
      <c r="AA17" s="6">
        <v>106484.04000000001</v>
      </c>
      <c r="AB17" s="6">
        <v>138482.85999999999</v>
      </c>
      <c r="AC17" s="6">
        <v>981140.21000000008</v>
      </c>
      <c r="AE17" s="26" t="s">
        <v>30</v>
      </c>
      <c r="AF17" s="35">
        <v>2</v>
      </c>
      <c r="AG17" s="35">
        <v>1</v>
      </c>
      <c r="AH17" s="35">
        <v>1</v>
      </c>
      <c r="AI17" s="35">
        <v>1</v>
      </c>
      <c r="AJ17" s="35"/>
      <c r="AK17" s="35">
        <v>1</v>
      </c>
      <c r="AL17" s="35">
        <v>2</v>
      </c>
      <c r="AM17" s="35">
        <v>8</v>
      </c>
    </row>
    <row r="18" spans="1:39">
      <c r="A18" s="25" t="s">
        <v>27</v>
      </c>
      <c r="B18" s="6">
        <v>3927.1800000000003</v>
      </c>
      <c r="C18" s="6">
        <v>16416.11</v>
      </c>
      <c r="D18" s="6">
        <v>4536.41</v>
      </c>
      <c r="E18" s="6">
        <v>9159.9700000000012</v>
      </c>
      <c r="F18" s="6">
        <v>7804.59</v>
      </c>
      <c r="G18" s="6"/>
      <c r="H18" s="6">
        <v>20636.379999999997</v>
      </c>
      <c r="I18" s="6">
        <v>62480.639999999992</v>
      </c>
      <c r="K18" s="26" t="s">
        <v>24</v>
      </c>
      <c r="L18" s="6">
        <v>5826.46</v>
      </c>
      <c r="M18" s="6"/>
      <c r="N18" s="6">
        <v>13032.78</v>
      </c>
      <c r="O18" s="6">
        <v>19907.79</v>
      </c>
      <c r="P18" s="6">
        <v>13383.3</v>
      </c>
      <c r="Q18" s="6">
        <v>1254.8</v>
      </c>
      <c r="R18" s="6"/>
      <c r="S18" s="6">
        <v>53405.130000000005</v>
      </c>
      <c r="T18" s="27"/>
      <c r="AE18" s="26" t="s">
        <v>24</v>
      </c>
      <c r="AF18" s="35">
        <v>1</v>
      </c>
      <c r="AG18" s="35"/>
      <c r="AH18" s="35">
        <v>2</v>
      </c>
      <c r="AI18" s="35">
        <v>4</v>
      </c>
      <c r="AJ18" s="35">
        <v>3</v>
      </c>
      <c r="AK18" s="35">
        <v>1</v>
      </c>
      <c r="AL18" s="35"/>
      <c r="AM18" s="35">
        <v>11</v>
      </c>
    </row>
    <row r="19" spans="1:39">
      <c r="A19" s="25" t="s">
        <v>33</v>
      </c>
      <c r="B19" s="6">
        <v>5441.03</v>
      </c>
      <c r="C19" s="6">
        <v>9294.6400000000012</v>
      </c>
      <c r="D19" s="6">
        <v>8878.9</v>
      </c>
      <c r="E19" s="6">
        <v>14422.800000000001</v>
      </c>
      <c r="F19" s="6">
        <v>10461.25</v>
      </c>
      <c r="G19" s="6"/>
      <c r="H19" s="6"/>
      <c r="I19" s="6">
        <v>48498.62</v>
      </c>
      <c r="K19" s="26" t="s">
        <v>44</v>
      </c>
      <c r="L19" s="6"/>
      <c r="M19" s="6">
        <v>22620.54</v>
      </c>
      <c r="N19" s="6">
        <v>8924.4500000000007</v>
      </c>
      <c r="O19" s="6">
        <v>9035.98</v>
      </c>
      <c r="P19" s="6">
        <v>4287.16</v>
      </c>
      <c r="Q19" s="6">
        <v>4720.6000000000004</v>
      </c>
      <c r="R19" s="6">
        <v>3978.59</v>
      </c>
      <c r="S19" s="6">
        <v>53567.320000000007</v>
      </c>
      <c r="T19" s="27"/>
      <c r="AE19" s="26" t="s">
        <v>44</v>
      </c>
      <c r="AF19" s="35"/>
      <c r="AG19" s="35">
        <v>3</v>
      </c>
      <c r="AH19" s="35">
        <v>1</v>
      </c>
      <c r="AI19" s="35">
        <v>3</v>
      </c>
      <c r="AJ19" s="35">
        <v>1</v>
      </c>
      <c r="AK19" s="35">
        <v>1</v>
      </c>
      <c r="AL19" s="35">
        <v>1</v>
      </c>
      <c r="AM19" s="35">
        <v>10</v>
      </c>
    </row>
    <row r="20" spans="1:39">
      <c r="A20" s="25" t="s">
        <v>21</v>
      </c>
      <c r="B20" s="6">
        <v>15648.300000000003</v>
      </c>
      <c r="C20" s="6">
        <v>7407.5999999999995</v>
      </c>
      <c r="D20" s="6">
        <v>16426.469999999998</v>
      </c>
      <c r="E20" s="6">
        <v>3100.95</v>
      </c>
      <c r="F20" s="6">
        <v>21846.01</v>
      </c>
      <c r="G20" s="6">
        <v>6574.69</v>
      </c>
      <c r="H20" s="6">
        <v>10219.880000000001</v>
      </c>
      <c r="I20" s="6">
        <v>81223.899999999994</v>
      </c>
      <c r="K20" s="25" t="s">
        <v>34</v>
      </c>
      <c r="L20" s="6">
        <v>11377.54</v>
      </c>
      <c r="M20" s="6">
        <v>39404.699999999997</v>
      </c>
      <c r="N20" s="6">
        <v>42398.179999999993</v>
      </c>
      <c r="O20" s="6">
        <v>26578.280000000002</v>
      </c>
      <c r="P20" s="6">
        <v>3730.68</v>
      </c>
      <c r="Q20" s="6">
        <v>37231.25</v>
      </c>
      <c r="R20" s="6">
        <v>29253.11</v>
      </c>
      <c r="S20" s="6">
        <v>189973.74</v>
      </c>
      <c r="T20" s="27"/>
      <c r="AE20" s="25" t="s">
        <v>34</v>
      </c>
      <c r="AF20" s="35">
        <v>2</v>
      </c>
      <c r="AG20" s="35">
        <v>8</v>
      </c>
      <c r="AH20" s="35">
        <v>8</v>
      </c>
      <c r="AI20" s="35">
        <v>6</v>
      </c>
      <c r="AJ20" s="35">
        <v>1</v>
      </c>
      <c r="AK20" s="35">
        <v>8</v>
      </c>
      <c r="AL20" s="35">
        <v>5</v>
      </c>
      <c r="AM20" s="35">
        <v>38</v>
      </c>
    </row>
    <row r="21" spans="1:39">
      <c r="A21" s="25" t="s">
        <v>47</v>
      </c>
      <c r="B21" s="6">
        <v>12344.33</v>
      </c>
      <c r="C21" s="6">
        <v>1532.09</v>
      </c>
      <c r="D21" s="6">
        <v>11842.289999999999</v>
      </c>
      <c r="E21" s="6">
        <v>768.05</v>
      </c>
      <c r="F21" s="6">
        <v>1529.44</v>
      </c>
      <c r="G21" s="6">
        <v>10116.85</v>
      </c>
      <c r="H21" s="6">
        <v>16628.379999999997</v>
      </c>
      <c r="I21" s="6">
        <v>54761.429999999993</v>
      </c>
      <c r="K21" s="26" t="s">
        <v>43</v>
      </c>
      <c r="L21" s="6">
        <v>2676.37</v>
      </c>
      <c r="M21" s="6">
        <v>15300.399999999998</v>
      </c>
      <c r="N21" s="6"/>
      <c r="O21" s="6">
        <v>8486.3100000000013</v>
      </c>
      <c r="P21" s="6"/>
      <c r="Q21" s="6">
        <v>7591.39</v>
      </c>
      <c r="R21" s="6">
        <v>7831.92</v>
      </c>
      <c r="S21" s="6">
        <v>41886.39</v>
      </c>
      <c r="T21" s="27"/>
      <c r="U21" s="24" t="s">
        <v>69</v>
      </c>
      <c r="V21" s="24" t="s">
        <v>1</v>
      </c>
      <c r="AE21" s="26" t="s">
        <v>43</v>
      </c>
      <c r="AF21" s="35">
        <v>1</v>
      </c>
      <c r="AG21" s="35">
        <v>3</v>
      </c>
      <c r="AH21" s="35"/>
      <c r="AI21" s="35">
        <v>2</v>
      </c>
      <c r="AJ21" s="35"/>
      <c r="AK21" s="35">
        <v>1</v>
      </c>
      <c r="AL21" s="35">
        <v>1</v>
      </c>
      <c r="AM21" s="35">
        <v>8</v>
      </c>
    </row>
    <row r="22" spans="1:39">
      <c r="A22" s="25" t="s">
        <v>16</v>
      </c>
      <c r="B22" s="6"/>
      <c r="C22" s="6">
        <v>15490.08</v>
      </c>
      <c r="D22" s="6">
        <v>11319.869999999999</v>
      </c>
      <c r="E22" s="6">
        <v>9874.08</v>
      </c>
      <c r="F22" s="6">
        <v>2856.8100000000004</v>
      </c>
      <c r="G22" s="6">
        <v>11597.699999999999</v>
      </c>
      <c r="H22" s="6">
        <v>8731.25</v>
      </c>
      <c r="I22" s="6">
        <v>59869.789999999994</v>
      </c>
      <c r="K22" s="26" t="s">
        <v>35</v>
      </c>
      <c r="L22" s="6">
        <v>8701.17</v>
      </c>
      <c r="M22" s="6">
        <v>12774.650000000001</v>
      </c>
      <c r="N22" s="6">
        <v>17128.579999999998</v>
      </c>
      <c r="O22" s="6">
        <v>8514.9700000000012</v>
      </c>
      <c r="P22" s="6"/>
      <c r="Q22" s="6">
        <v>23929.5</v>
      </c>
      <c r="R22" s="6">
        <v>14869.58</v>
      </c>
      <c r="S22" s="6">
        <v>85918.45</v>
      </c>
      <c r="T22" s="27"/>
      <c r="U22" s="24" t="s">
        <v>0</v>
      </c>
      <c r="V22" t="s">
        <v>38</v>
      </c>
      <c r="W22" t="s">
        <v>29</v>
      </c>
      <c r="X22" t="s">
        <v>31</v>
      </c>
      <c r="Y22" t="s">
        <v>8</v>
      </c>
      <c r="Z22" t="s">
        <v>18</v>
      </c>
      <c r="AA22" t="s">
        <v>13</v>
      </c>
      <c r="AB22" t="s">
        <v>48</v>
      </c>
      <c r="AC22" t="s">
        <v>67</v>
      </c>
      <c r="AE22" s="26" t="s">
        <v>35</v>
      </c>
      <c r="AF22" s="35">
        <v>1</v>
      </c>
      <c r="AG22" s="35">
        <v>2</v>
      </c>
      <c r="AH22" s="35">
        <v>3</v>
      </c>
      <c r="AI22" s="35">
        <v>2</v>
      </c>
      <c r="AJ22" s="35"/>
      <c r="AK22" s="35">
        <v>5</v>
      </c>
      <c r="AL22" s="35">
        <v>2</v>
      </c>
      <c r="AM22" s="35">
        <v>15</v>
      </c>
    </row>
    <row r="23" spans="1:39">
      <c r="A23" s="25" t="s">
        <v>67</v>
      </c>
      <c r="B23" s="6">
        <v>68976.39</v>
      </c>
      <c r="C23" s="6">
        <v>67730.429999999993</v>
      </c>
      <c r="D23" s="6">
        <v>75659.25</v>
      </c>
      <c r="E23" s="6">
        <v>51504.740000000005</v>
      </c>
      <c r="F23" s="6">
        <v>54599.55</v>
      </c>
      <c r="G23" s="6">
        <v>51216.38</v>
      </c>
      <c r="H23" s="6">
        <v>78333.899999999994</v>
      </c>
      <c r="I23" s="6">
        <v>448020.63999999996</v>
      </c>
      <c r="K23" s="26" t="s">
        <v>49</v>
      </c>
      <c r="L23" s="6"/>
      <c r="M23" s="6">
        <v>8215.74</v>
      </c>
      <c r="N23" s="6">
        <v>16637.189999999999</v>
      </c>
      <c r="O23" s="6">
        <v>5890.36</v>
      </c>
      <c r="P23" s="6">
        <v>3730.68</v>
      </c>
      <c r="Q23" s="6">
        <v>4865.1099999999997</v>
      </c>
      <c r="R23" s="6">
        <v>6551.6100000000006</v>
      </c>
      <c r="S23" s="6">
        <v>45890.69</v>
      </c>
      <c r="T23" s="27"/>
      <c r="U23" s="25" t="s">
        <v>36</v>
      </c>
      <c r="V23" s="6">
        <v>5321.8600000000006</v>
      </c>
      <c r="W23" s="6">
        <v>8856.9199999999983</v>
      </c>
      <c r="X23" s="6">
        <v>19027.89</v>
      </c>
      <c r="Y23" s="6">
        <v>1828.4899999999998</v>
      </c>
      <c r="Z23" s="6">
        <v>7959.38</v>
      </c>
      <c r="AA23" s="6">
        <v>572.85</v>
      </c>
      <c r="AB23" s="6">
        <v>3072.6</v>
      </c>
      <c r="AC23" s="6">
        <v>46639.989999999991</v>
      </c>
      <c r="AE23" s="26" t="s">
        <v>49</v>
      </c>
      <c r="AF23" s="35"/>
      <c r="AG23" s="35">
        <v>2</v>
      </c>
      <c r="AH23" s="35">
        <v>3</v>
      </c>
      <c r="AI23" s="35">
        <v>1</v>
      </c>
      <c r="AJ23" s="35">
        <v>1</v>
      </c>
      <c r="AK23" s="35">
        <v>1</v>
      </c>
      <c r="AL23" s="35">
        <v>2</v>
      </c>
      <c r="AM23" s="35">
        <v>10</v>
      </c>
    </row>
    <row r="24" spans="1:39">
      <c r="K24" s="26" t="s">
        <v>56</v>
      </c>
      <c r="L24" s="6"/>
      <c r="M24" s="6">
        <v>3113.91</v>
      </c>
      <c r="N24" s="6">
        <v>8632.41</v>
      </c>
      <c r="O24" s="6">
        <v>3686.64</v>
      </c>
      <c r="P24" s="6"/>
      <c r="Q24" s="6">
        <v>845.25</v>
      </c>
      <c r="R24" s="6"/>
      <c r="S24" s="6">
        <v>16278.21</v>
      </c>
      <c r="T24" s="27"/>
      <c r="U24" s="25" t="s">
        <v>25</v>
      </c>
      <c r="V24" s="6"/>
      <c r="W24" s="6">
        <v>5930.8099999999995</v>
      </c>
      <c r="X24" s="6">
        <v>4752.16</v>
      </c>
      <c r="Y24" s="6">
        <v>10895.67</v>
      </c>
      <c r="Z24" s="6">
        <v>7489.58</v>
      </c>
      <c r="AA24" s="6"/>
      <c r="AB24" s="6">
        <v>11015.94</v>
      </c>
      <c r="AC24" s="6">
        <v>40084.160000000003</v>
      </c>
      <c r="AE24" s="26" t="s">
        <v>56</v>
      </c>
      <c r="AF24" s="35"/>
      <c r="AG24" s="35">
        <v>1</v>
      </c>
      <c r="AH24" s="35">
        <v>2</v>
      </c>
      <c r="AI24" s="35">
        <v>1</v>
      </c>
      <c r="AJ24" s="35"/>
      <c r="AK24" s="35">
        <v>1</v>
      </c>
      <c r="AL24" s="35"/>
      <c r="AM24" s="35">
        <v>5</v>
      </c>
    </row>
    <row r="25" spans="1:39">
      <c r="K25" s="25" t="s">
        <v>19</v>
      </c>
      <c r="L25" s="6">
        <v>26878.559999999998</v>
      </c>
      <c r="M25" s="6">
        <v>43707.820000000007</v>
      </c>
      <c r="N25" s="6">
        <v>23465.18</v>
      </c>
      <c r="O25" s="6">
        <v>19607.95</v>
      </c>
      <c r="P25" s="6">
        <v>56223.229999999996</v>
      </c>
      <c r="Q25" s="6">
        <v>23768.989999999998</v>
      </c>
      <c r="R25" s="6">
        <v>43786</v>
      </c>
      <c r="S25" s="6">
        <v>237437.73</v>
      </c>
      <c r="U25" s="25" t="s">
        <v>28</v>
      </c>
      <c r="V25" s="6">
        <v>4129.62</v>
      </c>
      <c r="W25" s="6">
        <v>3394.62</v>
      </c>
      <c r="X25" s="6">
        <v>1915.5</v>
      </c>
      <c r="Y25" s="6">
        <v>7314.46</v>
      </c>
      <c r="Z25" s="6">
        <v>4268.01</v>
      </c>
      <c r="AA25" s="6">
        <v>981.77</v>
      </c>
      <c r="AB25" s="6">
        <v>6617.86</v>
      </c>
      <c r="AC25" s="6">
        <v>28621.84</v>
      </c>
      <c r="AE25" s="25" t="s">
        <v>19</v>
      </c>
      <c r="AF25" s="35">
        <v>5</v>
      </c>
      <c r="AG25" s="35">
        <v>9</v>
      </c>
      <c r="AH25" s="35">
        <v>6</v>
      </c>
      <c r="AI25" s="35">
        <v>3</v>
      </c>
      <c r="AJ25" s="35">
        <v>9</v>
      </c>
      <c r="AK25" s="35">
        <v>7</v>
      </c>
      <c r="AL25" s="35">
        <v>8</v>
      </c>
      <c r="AM25" s="35">
        <v>47</v>
      </c>
    </row>
    <row r="26" spans="1:39">
      <c r="K26" s="26" t="s">
        <v>32</v>
      </c>
      <c r="L26" s="6">
        <v>15440.2</v>
      </c>
      <c r="M26" s="6">
        <v>19613.22</v>
      </c>
      <c r="N26" s="6">
        <v>6138.66</v>
      </c>
      <c r="O26" s="6">
        <v>4084.07</v>
      </c>
      <c r="P26" s="6">
        <v>21582.59</v>
      </c>
      <c r="Q26" s="6">
        <v>3495.38</v>
      </c>
      <c r="R26" s="6">
        <v>10217.58</v>
      </c>
      <c r="S26" s="6">
        <v>80571.700000000012</v>
      </c>
      <c r="U26" s="25" t="s">
        <v>39</v>
      </c>
      <c r="V26" s="6">
        <v>3850.16</v>
      </c>
      <c r="W26" s="6">
        <v>474.41</v>
      </c>
      <c r="X26" s="6">
        <v>7199.76</v>
      </c>
      <c r="Y26" s="6">
        <v>849.52</v>
      </c>
      <c r="Z26" s="6">
        <v>14608.250000000002</v>
      </c>
      <c r="AA26" s="6">
        <v>20197.080000000002</v>
      </c>
      <c r="AB26" s="6">
        <v>9979.32</v>
      </c>
      <c r="AC26" s="6">
        <v>57158.500000000007</v>
      </c>
      <c r="AE26" s="26" t="s">
        <v>32</v>
      </c>
      <c r="AF26" s="35">
        <v>2</v>
      </c>
      <c r="AG26" s="35">
        <v>3</v>
      </c>
      <c r="AH26" s="35">
        <v>2</v>
      </c>
      <c r="AI26" s="35">
        <v>1</v>
      </c>
      <c r="AJ26" s="35">
        <v>3</v>
      </c>
      <c r="AK26" s="35">
        <v>2</v>
      </c>
      <c r="AL26" s="35">
        <v>2</v>
      </c>
      <c r="AM26" s="35">
        <v>15</v>
      </c>
    </row>
    <row r="27" spans="1:39">
      <c r="A27" s="24" t="s">
        <v>70</v>
      </c>
      <c r="B27" s="24" t="s">
        <v>1</v>
      </c>
      <c r="K27" s="26" t="s">
        <v>41</v>
      </c>
      <c r="L27" s="6">
        <v>11438.359999999999</v>
      </c>
      <c r="M27" s="6">
        <v>24094.600000000002</v>
      </c>
      <c r="N27" s="6">
        <v>11785.93</v>
      </c>
      <c r="O27" s="6">
        <v>7231.93</v>
      </c>
      <c r="P27" s="6">
        <v>16056.11</v>
      </c>
      <c r="Q27" s="6">
        <v>6063.72</v>
      </c>
      <c r="R27" s="6"/>
      <c r="S27" s="6">
        <v>76670.649999999994</v>
      </c>
      <c r="U27" s="25" t="s">
        <v>7</v>
      </c>
      <c r="V27" s="6">
        <v>4069.06</v>
      </c>
      <c r="W27" s="6">
        <v>714.43999999999994</v>
      </c>
      <c r="X27" s="6">
        <v>5762.6500000000005</v>
      </c>
      <c r="Y27" s="6">
        <v>4095.2900000000004</v>
      </c>
      <c r="Z27" s="6">
        <v>7397.87</v>
      </c>
      <c r="AA27" s="6">
        <v>2035.47</v>
      </c>
      <c r="AB27" s="6"/>
      <c r="AC27" s="6">
        <v>24074.780000000002</v>
      </c>
      <c r="AE27" s="26" t="s">
        <v>41</v>
      </c>
      <c r="AF27" s="35">
        <v>3</v>
      </c>
      <c r="AG27" s="35">
        <v>6</v>
      </c>
      <c r="AH27" s="35">
        <v>3</v>
      </c>
      <c r="AI27" s="35">
        <v>1</v>
      </c>
      <c r="AJ27" s="35">
        <v>3</v>
      </c>
      <c r="AK27" s="35">
        <v>2</v>
      </c>
      <c r="AL27" s="35"/>
      <c r="AM27" s="35">
        <v>18</v>
      </c>
    </row>
    <row r="28" spans="1:39">
      <c r="A28" s="24" t="s">
        <v>4</v>
      </c>
      <c r="B28" t="s">
        <v>38</v>
      </c>
      <c r="C28" t="s">
        <v>29</v>
      </c>
      <c r="D28" t="s">
        <v>31</v>
      </c>
      <c r="E28" t="s">
        <v>8</v>
      </c>
      <c r="F28" t="s">
        <v>18</v>
      </c>
      <c r="G28" t="s">
        <v>13</v>
      </c>
      <c r="H28" t="s">
        <v>48</v>
      </c>
      <c r="I28" t="s">
        <v>67</v>
      </c>
      <c r="K28" s="26" t="s">
        <v>52</v>
      </c>
      <c r="L28" s="6"/>
      <c r="M28" s="6"/>
      <c r="N28" s="6"/>
      <c r="O28" s="6">
        <v>8291.9500000000007</v>
      </c>
      <c r="P28" s="6">
        <v>2089.1</v>
      </c>
      <c r="Q28" s="6">
        <v>12579.86</v>
      </c>
      <c r="R28" s="6">
        <v>11766.43</v>
      </c>
      <c r="S28" s="6">
        <v>34727.340000000004</v>
      </c>
      <c r="U28" s="25" t="s">
        <v>17</v>
      </c>
      <c r="V28" s="6">
        <v>14073.59</v>
      </c>
      <c r="W28" s="6">
        <v>4310.71</v>
      </c>
      <c r="X28" s="6">
        <v>1414.19</v>
      </c>
      <c r="Y28" s="6">
        <v>2079.04</v>
      </c>
      <c r="Z28" s="6">
        <v>4855.3</v>
      </c>
      <c r="AA28" s="6">
        <v>8007.91</v>
      </c>
      <c r="AB28" s="6">
        <v>9691.01</v>
      </c>
      <c r="AC28" s="6">
        <v>44431.75</v>
      </c>
      <c r="AE28" s="26" t="s">
        <v>52</v>
      </c>
      <c r="AF28" s="35"/>
      <c r="AG28" s="35"/>
      <c r="AH28" s="35"/>
      <c r="AI28" s="35">
        <v>1</v>
      </c>
      <c r="AJ28" s="35">
        <v>1</v>
      </c>
      <c r="AK28" s="35">
        <v>2</v>
      </c>
      <c r="AL28" s="35">
        <v>2</v>
      </c>
      <c r="AM28" s="35">
        <v>6</v>
      </c>
    </row>
    <row r="29" spans="1:39">
      <c r="A29" s="25" t="s">
        <v>11</v>
      </c>
      <c r="B29" s="27">
        <v>54.641250928657513</v>
      </c>
      <c r="C29" s="27">
        <v>27.23386008088308</v>
      </c>
      <c r="D29" s="27">
        <v>51.974054128132273</v>
      </c>
      <c r="E29" s="27">
        <v>47.189619609871635</v>
      </c>
      <c r="F29" s="27">
        <v>47.677003268985601</v>
      </c>
      <c r="G29" s="27">
        <v>42.560207050044539</v>
      </c>
      <c r="H29" s="27">
        <v>54.876746822117546</v>
      </c>
      <c r="I29" s="27">
        <v>45.045301632287355</v>
      </c>
      <c r="K29" s="26" t="s">
        <v>20</v>
      </c>
      <c r="L29" s="6"/>
      <c r="M29" s="6"/>
      <c r="N29" s="6">
        <v>5540.59</v>
      </c>
      <c r="O29" s="6"/>
      <c r="P29" s="6">
        <v>16495.43</v>
      </c>
      <c r="Q29" s="6">
        <v>1630.03</v>
      </c>
      <c r="R29" s="6">
        <v>21801.99</v>
      </c>
      <c r="S29" s="6">
        <v>45468.04</v>
      </c>
      <c r="U29" s="25" t="s">
        <v>37</v>
      </c>
      <c r="V29" s="6">
        <v>14303.410000000002</v>
      </c>
      <c r="W29" s="6">
        <v>11946.54</v>
      </c>
      <c r="X29" s="6">
        <v>5172.8499999999995</v>
      </c>
      <c r="Y29" s="6">
        <v>2725.63</v>
      </c>
      <c r="Z29" s="6">
        <v>4334.84</v>
      </c>
      <c r="AA29" s="6">
        <v>1296.76</v>
      </c>
      <c r="AB29" s="6">
        <v>6029.98</v>
      </c>
      <c r="AC29" s="6">
        <v>45810.010000000009</v>
      </c>
      <c r="AE29" s="26" t="s">
        <v>20</v>
      </c>
      <c r="AF29" s="35"/>
      <c r="AG29" s="35"/>
      <c r="AH29" s="35">
        <v>1</v>
      </c>
      <c r="AI29" s="35"/>
      <c r="AJ29" s="35">
        <v>2</v>
      </c>
      <c r="AK29" s="35">
        <v>1</v>
      </c>
      <c r="AL29" s="35">
        <v>4</v>
      </c>
      <c r="AM29" s="35">
        <v>8</v>
      </c>
    </row>
    <row r="30" spans="1:39">
      <c r="A30" s="25" t="s">
        <v>27</v>
      </c>
      <c r="B30" s="27">
        <v>61.586284098438057</v>
      </c>
      <c r="C30" s="27">
        <v>62.008594544905478</v>
      </c>
      <c r="D30" s="27">
        <v>40.497251555860082</v>
      </c>
      <c r="E30" s="27">
        <v>34.591710433980872</v>
      </c>
      <c r="F30" s="27">
        <v>34.223858467200337</v>
      </c>
      <c r="G30" s="27"/>
      <c r="H30" s="27">
        <v>62.394405531185086</v>
      </c>
      <c r="I30" s="27">
        <v>47.363039502938065</v>
      </c>
      <c r="K30" s="25" t="s">
        <v>67</v>
      </c>
      <c r="L30" s="6">
        <v>148639.22</v>
      </c>
      <c r="M30" s="6">
        <v>170973.18000000002</v>
      </c>
      <c r="N30" s="6">
        <v>146463.47</v>
      </c>
      <c r="O30" s="6">
        <v>146424.48000000004</v>
      </c>
      <c r="P30" s="6">
        <v>123672.95999999999</v>
      </c>
      <c r="Q30" s="6">
        <v>106484.04000000001</v>
      </c>
      <c r="R30" s="6">
        <v>138482.85999999999</v>
      </c>
      <c r="S30" s="6">
        <v>981140.21</v>
      </c>
      <c r="U30" s="25" t="s">
        <v>40</v>
      </c>
      <c r="V30" s="6">
        <v>9343.36</v>
      </c>
      <c r="W30" s="6">
        <v>1268.3900000000001</v>
      </c>
      <c r="X30" s="6">
        <v>10756.86</v>
      </c>
      <c r="Y30" s="6">
        <v>976.75</v>
      </c>
      <c r="Z30" s="6"/>
      <c r="AA30" s="6">
        <v>907.11</v>
      </c>
      <c r="AB30" s="6">
        <v>10618.869999999999</v>
      </c>
      <c r="AC30" s="6">
        <v>33871.339999999997</v>
      </c>
      <c r="AE30" s="25" t="s">
        <v>67</v>
      </c>
      <c r="AF30" s="35">
        <v>27</v>
      </c>
      <c r="AG30" s="35">
        <v>39</v>
      </c>
      <c r="AH30" s="35">
        <v>29</v>
      </c>
      <c r="AI30" s="35">
        <v>31</v>
      </c>
      <c r="AJ30" s="35">
        <v>23</v>
      </c>
      <c r="AK30" s="35">
        <v>26</v>
      </c>
      <c r="AL30" s="35">
        <v>25</v>
      </c>
      <c r="AM30" s="35">
        <v>200</v>
      </c>
    </row>
    <row r="31" spans="1:39">
      <c r="A31" s="25" t="s">
        <v>33</v>
      </c>
      <c r="B31" s="27">
        <v>29.734223614859779</v>
      </c>
      <c r="C31" s="27">
        <v>49.705325861117586</v>
      </c>
      <c r="D31" s="27">
        <v>45.314423174212124</v>
      </c>
      <c r="E31" s="27">
        <v>35.045023117210533</v>
      </c>
      <c r="F31" s="27">
        <v>53.922471103758305</v>
      </c>
      <c r="G31" s="27"/>
      <c r="H31" s="27"/>
      <c r="I31" s="27">
        <v>42.461490247455778</v>
      </c>
      <c r="U31" s="25" t="s">
        <v>54</v>
      </c>
      <c r="V31" s="6">
        <v>5071.8</v>
      </c>
      <c r="W31" s="6">
        <v>820.91000000000008</v>
      </c>
      <c r="X31" s="6">
        <v>5908.74</v>
      </c>
      <c r="Y31" s="6">
        <v>8474.07</v>
      </c>
      <c r="Z31" s="6"/>
      <c r="AA31" s="6">
        <v>1513.75</v>
      </c>
      <c r="AB31" s="6">
        <v>10424.24</v>
      </c>
      <c r="AC31" s="6">
        <v>32213.510000000002</v>
      </c>
    </row>
    <row r="32" spans="1:39">
      <c r="A32" s="25" t="s">
        <v>21</v>
      </c>
      <c r="B32" s="27">
        <v>38.122339499747333</v>
      </c>
      <c r="C32" s="27">
        <v>35.087938346695672</v>
      </c>
      <c r="D32" s="27">
        <v>48.341892351632438</v>
      </c>
      <c r="E32" s="27">
        <v>36.820092484557101</v>
      </c>
      <c r="F32" s="27">
        <v>53.250294242370607</v>
      </c>
      <c r="G32" s="27">
        <v>41.253457078788983</v>
      </c>
      <c r="H32" s="27">
        <v>70.034809403056954</v>
      </c>
      <c r="I32" s="27">
        <v>44.649548737804949</v>
      </c>
      <c r="U32" s="25" t="s">
        <v>51</v>
      </c>
      <c r="V32" s="6">
        <v>7802.8</v>
      </c>
      <c r="W32" s="6">
        <v>3522.8900000000003</v>
      </c>
      <c r="X32" s="6">
        <v>6743.86</v>
      </c>
      <c r="Y32" s="6">
        <v>9052.41</v>
      </c>
      <c r="Z32" s="6">
        <v>3240.42</v>
      </c>
      <c r="AA32" s="6">
        <v>7954.31</v>
      </c>
      <c r="AB32" s="6"/>
      <c r="AC32" s="6">
        <v>38316.689999999995</v>
      </c>
    </row>
    <row r="33" spans="1:39">
      <c r="A33" s="25" t="s">
        <v>47</v>
      </c>
      <c r="B33" s="27">
        <v>43.847455522815721</v>
      </c>
      <c r="C33" s="27">
        <v>42.641130882568433</v>
      </c>
      <c r="D33" s="27">
        <v>71.393135892271559</v>
      </c>
      <c r="E33" s="27">
        <v>4.9083886551690004</v>
      </c>
      <c r="F33" s="27">
        <v>46.277950921359192</v>
      </c>
      <c r="G33" s="27">
        <v>46.507845981182697</v>
      </c>
      <c r="H33" s="27">
        <v>45.885613266832443</v>
      </c>
      <c r="I33" s="27">
        <v>44.21107229813871</v>
      </c>
      <c r="U33" s="25" t="s">
        <v>12</v>
      </c>
      <c r="V33" s="6">
        <v>1010.73</v>
      </c>
      <c r="W33" s="6">
        <v>11497.32</v>
      </c>
      <c r="X33" s="6">
        <v>7004.79</v>
      </c>
      <c r="Y33" s="6">
        <v>633.86</v>
      </c>
      <c r="Z33" s="6"/>
      <c r="AA33" s="6">
        <v>6768.5899999999992</v>
      </c>
      <c r="AB33" s="6">
        <v>8951.65</v>
      </c>
      <c r="AC33" s="6">
        <v>35866.94</v>
      </c>
    </row>
    <row r="34" spans="1:39">
      <c r="A34" s="25" t="s">
        <v>16</v>
      </c>
      <c r="B34" s="27"/>
      <c r="C34" s="27">
        <v>47.923416086032077</v>
      </c>
      <c r="D34" s="27">
        <v>41.85997302096861</v>
      </c>
      <c r="E34" s="27">
        <v>37.857568506477165</v>
      </c>
      <c r="F34" s="27">
        <v>19.698366320856188</v>
      </c>
      <c r="G34" s="27">
        <v>75.676354661975537</v>
      </c>
      <c r="H34" s="27">
        <v>44.207064706565411</v>
      </c>
      <c r="I34" s="27">
        <v>45.732838923579514</v>
      </c>
      <c r="K34" s="24" t="s">
        <v>69</v>
      </c>
      <c r="L34" s="24" t="s">
        <v>1</v>
      </c>
      <c r="U34" s="25" t="s">
        <v>22</v>
      </c>
      <c r="V34" s="6"/>
      <c r="W34" s="6">
        <v>14992.469999999998</v>
      </c>
      <c r="X34" s="6"/>
      <c r="Y34" s="6">
        <v>2579.5500000000002</v>
      </c>
      <c r="Z34" s="6">
        <v>445.9</v>
      </c>
      <c r="AA34" s="6">
        <v>980.78</v>
      </c>
      <c r="AB34" s="6">
        <v>1932.43</v>
      </c>
      <c r="AC34" s="6">
        <v>20931.129999999997</v>
      </c>
      <c r="AE34" s="24" t="s">
        <v>71</v>
      </c>
      <c r="AF34" s="24" t="s">
        <v>1</v>
      </c>
    </row>
    <row r="35" spans="1:39">
      <c r="A35" s="25" t="s">
        <v>67</v>
      </c>
      <c r="B35" s="27">
        <v>44.661523822910624</v>
      </c>
      <c r="C35" s="27">
        <v>40.372367575842333</v>
      </c>
      <c r="D35" s="27">
        <v>51.195065989409692</v>
      </c>
      <c r="E35" s="27">
        <v>34.650960308147461</v>
      </c>
      <c r="F35" s="27">
        <v>46.210879247400598</v>
      </c>
      <c r="G35" s="27">
        <v>47.040996533365472</v>
      </c>
      <c r="H35" s="27">
        <v>54.334224881887025</v>
      </c>
      <c r="I35" s="27">
        <v>44.917459582633903</v>
      </c>
      <c r="K35" s="24" t="s">
        <v>72</v>
      </c>
      <c r="L35" t="s">
        <v>38</v>
      </c>
      <c r="M35" t="s">
        <v>29</v>
      </c>
      <c r="N35" t="s">
        <v>31</v>
      </c>
      <c r="O35" t="s">
        <v>8</v>
      </c>
      <c r="P35" t="s">
        <v>18</v>
      </c>
      <c r="Q35" t="s">
        <v>13</v>
      </c>
      <c r="R35" t="s">
        <v>48</v>
      </c>
      <c r="S35" t="s">
        <v>67</v>
      </c>
      <c r="U35" s="25" t="s">
        <v>67</v>
      </c>
      <c r="V35" s="6">
        <v>68976.39</v>
      </c>
      <c r="W35" s="6">
        <v>67730.429999999993</v>
      </c>
      <c r="X35" s="6">
        <v>75659.249999999985</v>
      </c>
      <c r="Y35" s="6">
        <v>51504.740000000005</v>
      </c>
      <c r="Z35" s="6">
        <v>54599.55000000001</v>
      </c>
      <c r="AA35" s="6">
        <v>51216.38</v>
      </c>
      <c r="AB35" s="6">
        <v>78333.899999999994</v>
      </c>
      <c r="AC35" s="6">
        <v>448020.64</v>
      </c>
      <c r="AE35" s="24" t="s">
        <v>0</v>
      </c>
      <c r="AF35" t="s">
        <v>38</v>
      </c>
      <c r="AG35" t="s">
        <v>29</v>
      </c>
      <c r="AH35" t="s">
        <v>31</v>
      </c>
      <c r="AI35" t="s">
        <v>8</v>
      </c>
      <c r="AJ35" t="s">
        <v>18</v>
      </c>
      <c r="AK35" t="s">
        <v>13</v>
      </c>
      <c r="AL35" t="s">
        <v>48</v>
      </c>
      <c r="AM35" t="s">
        <v>67</v>
      </c>
    </row>
    <row r="36" spans="1:39">
      <c r="K36" s="25" t="s">
        <v>14</v>
      </c>
      <c r="L36" s="6">
        <v>13782.14</v>
      </c>
      <c r="M36" s="6">
        <v>21102.629999999997</v>
      </c>
      <c r="N36" s="6">
        <v>12320.630000000001</v>
      </c>
      <c r="O36" s="6">
        <v>9039.08</v>
      </c>
      <c r="P36" s="6">
        <v>6290.42</v>
      </c>
      <c r="Q36" s="6">
        <v>8401.81</v>
      </c>
      <c r="R36" s="6">
        <v>18590.71</v>
      </c>
      <c r="S36" s="6">
        <v>89527.42</v>
      </c>
      <c r="AE36" s="25" t="s">
        <v>36</v>
      </c>
      <c r="AF36" s="35">
        <v>2</v>
      </c>
      <c r="AG36" s="35">
        <v>7</v>
      </c>
      <c r="AH36" s="35">
        <v>5</v>
      </c>
      <c r="AI36" s="35">
        <v>3</v>
      </c>
      <c r="AJ36" s="35">
        <v>2</v>
      </c>
      <c r="AK36" s="35">
        <v>1</v>
      </c>
      <c r="AL36" s="35">
        <v>2</v>
      </c>
      <c r="AM36" s="35">
        <v>22</v>
      </c>
    </row>
    <row r="37" spans="1:39">
      <c r="K37" s="26" t="s">
        <v>26</v>
      </c>
      <c r="L37" s="6"/>
      <c r="M37" s="6">
        <v>5498.82</v>
      </c>
      <c r="N37" s="6">
        <v>4157.97</v>
      </c>
      <c r="O37" s="6">
        <v>2873.34</v>
      </c>
      <c r="P37" s="6">
        <v>1097.05</v>
      </c>
      <c r="Q37" s="6">
        <v>841.81</v>
      </c>
      <c r="R37" s="6"/>
      <c r="S37" s="6">
        <v>14468.99</v>
      </c>
      <c r="AE37" s="25" t="s">
        <v>25</v>
      </c>
      <c r="AF37" s="35"/>
      <c r="AG37" s="35">
        <v>4</v>
      </c>
      <c r="AH37" s="35">
        <v>2</v>
      </c>
      <c r="AI37" s="35">
        <v>5</v>
      </c>
      <c r="AJ37" s="35">
        <v>3</v>
      </c>
      <c r="AK37" s="35"/>
      <c r="AL37" s="35">
        <v>3</v>
      </c>
      <c r="AM37" s="35">
        <v>17</v>
      </c>
    </row>
    <row r="38" spans="1:39">
      <c r="K38" s="26" t="s">
        <v>15</v>
      </c>
      <c r="L38" s="6">
        <v>9389.619999999999</v>
      </c>
      <c r="M38" s="6">
        <v>11224.409999999998</v>
      </c>
      <c r="N38" s="6"/>
      <c r="O38" s="6">
        <v>3358.91</v>
      </c>
      <c r="P38" s="6"/>
      <c r="Q38" s="6">
        <v>7560</v>
      </c>
      <c r="R38" s="6">
        <v>15417.239999999998</v>
      </c>
      <c r="S38" s="6">
        <v>46950.179999999993</v>
      </c>
      <c r="AE38" s="25" t="s">
        <v>28</v>
      </c>
      <c r="AF38" s="35">
        <v>2</v>
      </c>
      <c r="AG38" s="35">
        <v>2</v>
      </c>
      <c r="AH38" s="35">
        <v>1</v>
      </c>
      <c r="AI38" s="35">
        <v>2</v>
      </c>
      <c r="AJ38" s="35">
        <v>3</v>
      </c>
      <c r="AK38" s="35">
        <v>2</v>
      </c>
      <c r="AL38" s="35">
        <v>3</v>
      </c>
      <c r="AM38" s="35">
        <v>15</v>
      </c>
    </row>
    <row r="39" spans="1:39">
      <c r="K39" s="26" t="s">
        <v>45</v>
      </c>
      <c r="L39" s="6">
        <v>1996.47</v>
      </c>
      <c r="M39" s="6">
        <v>1630.13</v>
      </c>
      <c r="N39" s="6">
        <v>8162.66</v>
      </c>
      <c r="O39" s="6">
        <v>81.2</v>
      </c>
      <c r="P39" s="6">
        <v>5193.37</v>
      </c>
      <c r="Q39" s="6"/>
      <c r="R39" s="6"/>
      <c r="S39" s="6">
        <v>17063.830000000002</v>
      </c>
      <c r="U39" s="24" t="s">
        <v>70</v>
      </c>
      <c r="V39" s="24" t="s">
        <v>1</v>
      </c>
      <c r="AE39" s="25" t="s">
        <v>39</v>
      </c>
      <c r="AF39" s="35">
        <v>1</v>
      </c>
      <c r="AG39" s="35">
        <v>2</v>
      </c>
      <c r="AH39" s="35">
        <v>3</v>
      </c>
      <c r="AI39" s="35">
        <v>1</v>
      </c>
      <c r="AJ39" s="35">
        <v>6</v>
      </c>
      <c r="AK39" s="35">
        <v>6</v>
      </c>
      <c r="AL39" s="35">
        <v>3</v>
      </c>
      <c r="AM39" s="35">
        <v>22</v>
      </c>
    </row>
    <row r="40" spans="1:39">
      <c r="K40" s="26" t="s">
        <v>42</v>
      </c>
      <c r="L40" s="6">
        <v>2396.0500000000002</v>
      </c>
      <c r="M40" s="6">
        <v>2749.27</v>
      </c>
      <c r="N40" s="6"/>
      <c r="O40" s="6">
        <v>2725.63</v>
      </c>
      <c r="P40" s="6"/>
      <c r="Q40" s="6"/>
      <c r="R40" s="6">
        <v>3173.4700000000003</v>
      </c>
      <c r="S40" s="6">
        <v>11044.42</v>
      </c>
      <c r="U40" s="24" t="s">
        <v>0</v>
      </c>
      <c r="V40" t="s">
        <v>38</v>
      </c>
      <c r="W40" t="s">
        <v>29</v>
      </c>
      <c r="X40" t="s">
        <v>31</v>
      </c>
      <c r="Y40" t="s">
        <v>8</v>
      </c>
      <c r="Z40" t="s">
        <v>18</v>
      </c>
      <c r="AA40" t="s">
        <v>13</v>
      </c>
      <c r="AB40" t="s">
        <v>48</v>
      </c>
      <c r="AC40" t="s">
        <v>67</v>
      </c>
      <c r="AE40" s="25" t="s">
        <v>7</v>
      </c>
      <c r="AF40" s="35">
        <v>2</v>
      </c>
      <c r="AG40" s="35">
        <v>2</v>
      </c>
      <c r="AH40" s="35">
        <v>3</v>
      </c>
      <c r="AI40" s="35">
        <v>4</v>
      </c>
      <c r="AJ40" s="35">
        <v>2</v>
      </c>
      <c r="AK40" s="35">
        <v>3</v>
      </c>
      <c r="AL40" s="35"/>
      <c r="AM40" s="35">
        <v>16</v>
      </c>
    </row>
    <row r="41" spans="1:39">
      <c r="K41" s="25" t="s">
        <v>9</v>
      </c>
      <c r="L41" s="6">
        <v>23648.74</v>
      </c>
      <c r="M41" s="6">
        <v>5784.72</v>
      </c>
      <c r="N41" s="6">
        <v>11959.25</v>
      </c>
      <c r="O41" s="6">
        <v>13768.419999999998</v>
      </c>
      <c r="P41" s="6">
        <v>18215.240000000002</v>
      </c>
      <c r="Q41" s="6">
        <v>3785.9</v>
      </c>
      <c r="R41" s="6">
        <v>9381.2099999999991</v>
      </c>
      <c r="S41" s="6">
        <v>86543.48</v>
      </c>
      <c r="U41" s="25" t="s">
        <v>14</v>
      </c>
      <c r="V41" s="27">
        <v>39.375944270720829</v>
      </c>
      <c r="W41" s="27">
        <v>46.229987900744653</v>
      </c>
      <c r="X41" s="27">
        <v>36.096620139867909</v>
      </c>
      <c r="Y41" s="27">
        <v>43.379136446286566</v>
      </c>
      <c r="Z41" s="27">
        <v>81.869576402008164</v>
      </c>
      <c r="AA41" s="27">
        <v>45.771226952973599</v>
      </c>
      <c r="AB41" s="27">
        <v>66.925583249928451</v>
      </c>
      <c r="AC41" s="27">
        <v>47.660041532930634</v>
      </c>
      <c r="AE41" s="25" t="s">
        <v>17</v>
      </c>
      <c r="AF41" s="35">
        <v>5</v>
      </c>
      <c r="AG41" s="35">
        <v>1</v>
      </c>
      <c r="AH41" s="35">
        <v>1</v>
      </c>
      <c r="AI41" s="35">
        <v>5</v>
      </c>
      <c r="AJ41" s="35">
        <v>1</v>
      </c>
      <c r="AK41" s="35">
        <v>3</v>
      </c>
      <c r="AL41" s="35">
        <v>5</v>
      </c>
      <c r="AM41" s="35">
        <v>21</v>
      </c>
    </row>
    <row r="42" spans="1:39">
      <c r="K42" s="26" t="s">
        <v>50</v>
      </c>
      <c r="L42" s="6">
        <v>164.11</v>
      </c>
      <c r="M42" s="6">
        <v>2890.38</v>
      </c>
      <c r="N42" s="6">
        <v>6707.4</v>
      </c>
      <c r="O42" s="6">
        <v>1278.23</v>
      </c>
      <c r="P42" s="6">
        <v>741.2</v>
      </c>
      <c r="Q42" s="6">
        <v>2771.89</v>
      </c>
      <c r="R42" s="6"/>
      <c r="S42" s="6">
        <v>14553.21</v>
      </c>
      <c r="U42" s="25" t="s">
        <v>9</v>
      </c>
      <c r="V42" s="27">
        <v>43.236675948369601</v>
      </c>
      <c r="W42" s="27">
        <v>34.647365987712689</v>
      </c>
      <c r="X42" s="27">
        <v>38.219156961478063</v>
      </c>
      <c r="Y42" s="27">
        <v>38.683118613527064</v>
      </c>
      <c r="Z42" s="27">
        <v>45.897105346472415</v>
      </c>
      <c r="AA42" s="27">
        <v>50.76624588972912</v>
      </c>
      <c r="AB42" s="27">
        <v>57.635949285025639</v>
      </c>
      <c r="AC42" s="27">
        <v>42.931224781190174</v>
      </c>
      <c r="AE42" s="25" t="s">
        <v>37</v>
      </c>
      <c r="AF42" s="35">
        <v>5</v>
      </c>
      <c r="AG42" s="35">
        <v>5</v>
      </c>
      <c r="AH42" s="35">
        <v>3</v>
      </c>
      <c r="AI42" s="35">
        <v>1</v>
      </c>
      <c r="AJ42" s="35">
        <v>2</v>
      </c>
      <c r="AK42" s="35">
        <v>2</v>
      </c>
      <c r="AL42" s="35">
        <v>1</v>
      </c>
      <c r="AM42" s="35">
        <v>19</v>
      </c>
    </row>
    <row r="43" spans="1:39">
      <c r="K43" s="26" t="s">
        <v>46</v>
      </c>
      <c r="L43" s="6">
        <v>12172.23</v>
      </c>
      <c r="M43" s="6">
        <v>2894.34</v>
      </c>
      <c r="N43" s="6">
        <v>3723.77</v>
      </c>
      <c r="O43" s="6">
        <v>2562.04</v>
      </c>
      <c r="P43" s="6">
        <v>1529.44</v>
      </c>
      <c r="Q43" s="6">
        <v>888.28</v>
      </c>
      <c r="R43" s="6">
        <v>7154.03</v>
      </c>
      <c r="S43" s="6">
        <v>30924.129999999997</v>
      </c>
      <c r="U43" s="25" t="s">
        <v>23</v>
      </c>
      <c r="V43" s="27">
        <v>39.751433477549043</v>
      </c>
      <c r="W43" s="27">
        <v>20.258483110444555</v>
      </c>
      <c r="X43" s="27">
        <v>62.132439721994828</v>
      </c>
      <c r="Y43" s="27">
        <v>21.03171948921997</v>
      </c>
      <c r="Z43" s="27">
        <v>67.46458581828756</v>
      </c>
      <c r="AA43" s="27">
        <v>54.793710588345057</v>
      </c>
      <c r="AB43" s="27">
        <v>37.813701042526361</v>
      </c>
      <c r="AC43" s="27">
        <v>39.938068350503478</v>
      </c>
      <c r="AE43" s="25" t="s">
        <v>40</v>
      </c>
      <c r="AF43" s="35">
        <v>4</v>
      </c>
      <c r="AG43" s="35">
        <v>1</v>
      </c>
      <c r="AH43" s="35">
        <v>5</v>
      </c>
      <c r="AI43" s="35">
        <v>1</v>
      </c>
      <c r="AJ43" s="35"/>
      <c r="AK43" s="35">
        <v>1</v>
      </c>
      <c r="AL43" s="35">
        <v>2</v>
      </c>
      <c r="AM43" s="35">
        <v>14</v>
      </c>
    </row>
    <row r="44" spans="1:39">
      <c r="K44" s="26" t="s">
        <v>53</v>
      </c>
      <c r="L44" s="6">
        <v>4615.38</v>
      </c>
      <c r="M44" s="6"/>
      <c r="N44" s="6">
        <v>1528.08</v>
      </c>
      <c r="O44" s="6">
        <v>819.28</v>
      </c>
      <c r="P44" s="6">
        <v>15498.699999999999</v>
      </c>
      <c r="Q44" s="6">
        <v>125.73</v>
      </c>
      <c r="R44" s="6">
        <v>2227.1799999999998</v>
      </c>
      <c r="S44" s="6">
        <v>24814.35</v>
      </c>
      <c r="U44" s="25" t="s">
        <v>34</v>
      </c>
      <c r="V44" s="27">
        <v>44.226311950700463</v>
      </c>
      <c r="W44" s="27">
        <v>46.609969550965602</v>
      </c>
      <c r="X44" s="27">
        <v>65.386122333009297</v>
      </c>
      <c r="Y44" s="27">
        <v>22.795145751839243</v>
      </c>
      <c r="Z44" s="27">
        <v>6.5757449044142087</v>
      </c>
      <c r="AA44" s="27">
        <v>45.252084753841125</v>
      </c>
      <c r="AB44" s="27">
        <v>62.663702292553616</v>
      </c>
      <c r="AC44" s="27">
        <v>47.450083365319664</v>
      </c>
      <c r="AE44" s="25" t="s">
        <v>54</v>
      </c>
      <c r="AF44" s="35">
        <v>2</v>
      </c>
      <c r="AG44" s="35">
        <v>2</v>
      </c>
      <c r="AH44" s="35">
        <v>2</v>
      </c>
      <c r="AI44" s="35">
        <v>2</v>
      </c>
      <c r="AJ44" s="35"/>
      <c r="AK44" s="35">
        <v>1</v>
      </c>
      <c r="AL44" s="35">
        <v>2</v>
      </c>
      <c r="AM44" s="35">
        <v>11</v>
      </c>
    </row>
    <row r="45" spans="1:39">
      <c r="K45" s="26" t="s">
        <v>10</v>
      </c>
      <c r="L45" s="6">
        <v>6697.02</v>
      </c>
      <c r="M45" s="6"/>
      <c r="N45" s="6"/>
      <c r="O45" s="6">
        <v>9108.869999999999</v>
      </c>
      <c r="P45" s="6">
        <v>445.9</v>
      </c>
      <c r="Q45" s="6"/>
      <c r="R45" s="6"/>
      <c r="S45" s="6">
        <v>16251.789999999999</v>
      </c>
      <c r="U45" s="25" t="s">
        <v>19</v>
      </c>
      <c r="V45" s="27">
        <v>58.653120553957862</v>
      </c>
      <c r="W45" s="27">
        <v>38.486885995567121</v>
      </c>
      <c r="X45" s="27">
        <v>50.893778415704993</v>
      </c>
      <c r="Y45" s="27">
        <v>73.920929499635633</v>
      </c>
      <c r="Z45" s="27">
        <v>33.488582698147333</v>
      </c>
      <c r="AA45" s="27">
        <v>43.070817866507944</v>
      </c>
      <c r="AB45" s="27">
        <v>48.280817788697838</v>
      </c>
      <c r="AC45" s="27">
        <v>45.870479731521172</v>
      </c>
      <c r="AE45" s="25" t="s">
        <v>51</v>
      </c>
      <c r="AF45" s="35">
        <v>3</v>
      </c>
      <c r="AG45" s="35">
        <v>3</v>
      </c>
      <c r="AH45" s="35">
        <v>1</v>
      </c>
      <c r="AI45" s="35">
        <v>3</v>
      </c>
      <c r="AJ45" s="35">
        <v>3</v>
      </c>
      <c r="AK45" s="35">
        <v>4</v>
      </c>
      <c r="AL45" s="35"/>
      <c r="AM45" s="35">
        <v>17</v>
      </c>
    </row>
    <row r="46" spans="1:39">
      <c r="K46" s="25" t="s">
        <v>23</v>
      </c>
      <c r="L46" s="6">
        <v>10396.68</v>
      </c>
      <c r="M46" s="6">
        <v>5796.88</v>
      </c>
      <c r="N46" s="6">
        <v>14855.29</v>
      </c>
      <c r="O46" s="6">
        <v>10845.49</v>
      </c>
      <c r="P46" s="6">
        <v>11997.02</v>
      </c>
      <c r="Q46" s="6">
        <v>9715.9500000000007</v>
      </c>
      <c r="R46" s="6">
        <v>9343.69</v>
      </c>
      <c r="S46" s="6">
        <v>72951</v>
      </c>
      <c r="U46" s="25" t="s">
        <v>67</v>
      </c>
      <c r="V46" s="27">
        <v>44.66152382291061</v>
      </c>
      <c r="W46" s="27">
        <v>40.37236757584234</v>
      </c>
      <c r="X46" s="27">
        <v>51.19506598940972</v>
      </c>
      <c r="Y46" s="27">
        <v>34.650960308147461</v>
      </c>
      <c r="Z46" s="27">
        <v>46.210879247400598</v>
      </c>
      <c r="AA46" s="27">
        <v>47.040996533365465</v>
      </c>
      <c r="AB46" s="27">
        <v>54.33422488188701</v>
      </c>
      <c r="AC46" s="27">
        <v>44.917459582633917</v>
      </c>
      <c r="AE46" s="25" t="s">
        <v>12</v>
      </c>
      <c r="AF46" s="35">
        <v>1</v>
      </c>
      <c r="AG46" s="35">
        <v>5</v>
      </c>
      <c r="AH46" s="35">
        <v>3</v>
      </c>
      <c r="AI46" s="35">
        <v>1</v>
      </c>
      <c r="AJ46" s="35"/>
      <c r="AK46" s="35">
        <v>2</v>
      </c>
      <c r="AL46" s="35">
        <v>2</v>
      </c>
      <c r="AM46" s="35">
        <v>14</v>
      </c>
    </row>
    <row r="47" spans="1:39">
      <c r="K47" s="26" t="s">
        <v>55</v>
      </c>
      <c r="L47" s="6">
        <v>1433.92</v>
      </c>
      <c r="M47" s="6"/>
      <c r="N47" s="6"/>
      <c r="O47" s="6">
        <v>7188.04</v>
      </c>
      <c r="P47" s="6"/>
      <c r="Q47" s="6">
        <v>4829.1099999999997</v>
      </c>
      <c r="R47" s="6">
        <v>6341.08</v>
      </c>
      <c r="S47" s="6">
        <v>19792.150000000001</v>
      </c>
      <c r="AE47" s="25" t="s">
        <v>22</v>
      </c>
      <c r="AF47" s="35"/>
      <c r="AG47" s="35">
        <v>5</v>
      </c>
      <c r="AH47" s="35"/>
      <c r="AI47" s="35">
        <v>3</v>
      </c>
      <c r="AJ47" s="35">
        <v>1</v>
      </c>
      <c r="AK47" s="35">
        <v>1</v>
      </c>
      <c r="AL47" s="35">
        <v>2</v>
      </c>
      <c r="AM47" s="35">
        <v>12</v>
      </c>
    </row>
    <row r="48" spans="1:39">
      <c r="K48" s="26" t="s">
        <v>30</v>
      </c>
      <c r="L48" s="6">
        <v>4661.83</v>
      </c>
      <c r="M48" s="6">
        <v>126.6</v>
      </c>
      <c r="N48" s="6">
        <v>2464.64</v>
      </c>
      <c r="O48" s="6">
        <v>407.07</v>
      </c>
      <c r="P48" s="6"/>
      <c r="Q48" s="6">
        <v>1103.1400000000001</v>
      </c>
      <c r="R48" s="6">
        <v>1454.69</v>
      </c>
      <c r="S48" s="6">
        <v>10217.969999999999</v>
      </c>
      <c r="AE48" s="25" t="s">
        <v>67</v>
      </c>
      <c r="AF48" s="35">
        <v>27</v>
      </c>
      <c r="AG48" s="35">
        <v>39</v>
      </c>
      <c r="AH48" s="35">
        <v>29</v>
      </c>
      <c r="AI48" s="35">
        <v>31</v>
      </c>
      <c r="AJ48" s="35">
        <v>23</v>
      </c>
      <c r="AK48" s="35">
        <v>26</v>
      </c>
      <c r="AL48" s="35">
        <v>25</v>
      </c>
      <c r="AM48" s="35">
        <v>200</v>
      </c>
    </row>
    <row r="49" spans="11:39">
      <c r="K49" s="26" t="s">
        <v>24</v>
      </c>
      <c r="L49" s="6">
        <v>4300.93</v>
      </c>
      <c r="M49" s="6"/>
      <c r="N49" s="6">
        <v>5646.79</v>
      </c>
      <c r="O49" s="6">
        <v>2284.2600000000002</v>
      </c>
      <c r="P49" s="6">
        <v>8316.49</v>
      </c>
      <c r="Q49" s="6">
        <v>348.34</v>
      </c>
      <c r="R49" s="6"/>
      <c r="S49" s="6">
        <v>20896.810000000001</v>
      </c>
    </row>
    <row r="50" spans="11:39">
      <c r="K50" s="26" t="s">
        <v>44</v>
      </c>
      <c r="L50" s="6"/>
      <c r="M50" s="6">
        <v>5670.28</v>
      </c>
      <c r="N50" s="6">
        <v>6743.86</v>
      </c>
      <c r="O50" s="6">
        <v>966.12</v>
      </c>
      <c r="P50" s="6">
        <v>3680.53</v>
      </c>
      <c r="Q50" s="6">
        <v>3435.36</v>
      </c>
      <c r="R50" s="6">
        <v>1547.92</v>
      </c>
      <c r="S50" s="6">
        <v>22044.07</v>
      </c>
    </row>
    <row r="51" spans="11:39">
      <c r="K51" s="25" t="s">
        <v>34</v>
      </c>
      <c r="L51" s="6">
        <v>5421.15</v>
      </c>
      <c r="M51" s="6">
        <v>18701.009999999998</v>
      </c>
      <c r="N51" s="6">
        <v>25350.05</v>
      </c>
      <c r="O51" s="6">
        <v>3258.45</v>
      </c>
      <c r="P51" s="6">
        <v>245.32</v>
      </c>
      <c r="Q51" s="6">
        <v>19424.82</v>
      </c>
      <c r="R51" s="6">
        <v>19789.3</v>
      </c>
      <c r="S51" s="6">
        <v>92190.099999999991</v>
      </c>
    </row>
    <row r="52" spans="11:39">
      <c r="K52" s="26" t="s">
        <v>43</v>
      </c>
      <c r="L52" s="6">
        <v>1010.73</v>
      </c>
      <c r="M52" s="6">
        <v>7571.3899999999994</v>
      </c>
      <c r="N52" s="6"/>
      <c r="O52" s="6">
        <v>1216.28</v>
      </c>
      <c r="P52" s="6"/>
      <c r="Q52" s="6">
        <v>3261.65</v>
      </c>
      <c r="R52" s="6">
        <v>6310.48</v>
      </c>
      <c r="S52" s="6">
        <v>19370.53</v>
      </c>
      <c r="AE52" s="24" t="s">
        <v>71</v>
      </c>
      <c r="AF52" s="24" t="s">
        <v>1</v>
      </c>
    </row>
    <row r="53" spans="11:39">
      <c r="K53" s="26" t="s">
        <v>35</v>
      </c>
      <c r="L53" s="6">
        <v>4410.42</v>
      </c>
      <c r="M53" s="6">
        <v>6657.78</v>
      </c>
      <c r="N53" s="6">
        <v>8825.83</v>
      </c>
      <c r="O53" s="6">
        <v>1483.38</v>
      </c>
      <c r="P53" s="6"/>
      <c r="Q53" s="6">
        <v>12849.41</v>
      </c>
      <c r="R53" s="6">
        <v>10300.689999999999</v>
      </c>
      <c r="S53" s="6">
        <v>44527.509999999995</v>
      </c>
      <c r="AE53" s="24" t="s">
        <v>4</v>
      </c>
      <c r="AF53" t="s">
        <v>38</v>
      </c>
      <c r="AG53" t="s">
        <v>29</v>
      </c>
      <c r="AH53" t="s">
        <v>31</v>
      </c>
      <c r="AI53" t="s">
        <v>8</v>
      </c>
      <c r="AJ53" t="s">
        <v>18</v>
      </c>
      <c r="AK53" t="s">
        <v>13</v>
      </c>
      <c r="AL53" t="s">
        <v>48</v>
      </c>
      <c r="AM53" t="s">
        <v>67</v>
      </c>
    </row>
    <row r="54" spans="11:39">
      <c r="K54" s="26" t="s">
        <v>49</v>
      </c>
      <c r="L54" s="6"/>
      <c r="M54" s="6">
        <v>2794.31</v>
      </c>
      <c r="N54" s="6">
        <v>10114.91</v>
      </c>
      <c r="O54" s="6">
        <v>371.14</v>
      </c>
      <c r="P54" s="6">
        <v>245.32</v>
      </c>
      <c r="Q54" s="6">
        <v>3032.02</v>
      </c>
      <c r="R54" s="6">
        <v>3178.13</v>
      </c>
      <c r="S54" s="6">
        <v>19735.829999999998</v>
      </c>
      <c r="AE54" s="25" t="s">
        <v>11</v>
      </c>
      <c r="AF54" s="35">
        <v>9</v>
      </c>
      <c r="AG54" s="35">
        <v>12</v>
      </c>
      <c r="AH54" s="35">
        <v>8</v>
      </c>
      <c r="AI54" s="35">
        <v>8</v>
      </c>
      <c r="AJ54" s="35">
        <v>6</v>
      </c>
      <c r="AK54" s="35">
        <v>12</v>
      </c>
      <c r="AL54" s="35">
        <v>7</v>
      </c>
      <c r="AM54" s="35">
        <v>62</v>
      </c>
    </row>
    <row r="55" spans="11:39">
      <c r="K55" s="26" t="s">
        <v>56</v>
      </c>
      <c r="L55" s="6"/>
      <c r="M55" s="6">
        <v>1677.53</v>
      </c>
      <c r="N55" s="6">
        <v>6409.31</v>
      </c>
      <c r="O55" s="6">
        <v>187.65</v>
      </c>
      <c r="P55" s="6"/>
      <c r="Q55" s="6">
        <v>281.74</v>
      </c>
      <c r="R55" s="6"/>
      <c r="S55" s="6">
        <v>8556.23</v>
      </c>
      <c r="AE55" s="25" t="s">
        <v>27</v>
      </c>
      <c r="AF55" s="35">
        <v>2</v>
      </c>
      <c r="AG55" s="35">
        <v>4</v>
      </c>
      <c r="AH55" s="35">
        <v>3</v>
      </c>
      <c r="AI55" s="35">
        <v>8</v>
      </c>
      <c r="AJ55" s="35">
        <v>3</v>
      </c>
      <c r="AK55" s="35"/>
      <c r="AL55" s="35">
        <v>5</v>
      </c>
      <c r="AM55" s="35">
        <v>25</v>
      </c>
    </row>
    <row r="56" spans="11:39">
      <c r="K56" s="25" t="s">
        <v>19</v>
      </c>
      <c r="L56" s="6">
        <v>15727.68</v>
      </c>
      <c r="M56" s="6">
        <v>16345.190000000002</v>
      </c>
      <c r="N56" s="6">
        <v>11174.029999999999</v>
      </c>
      <c r="O56" s="6">
        <v>14593.3</v>
      </c>
      <c r="P56" s="6">
        <v>17851.550000000003</v>
      </c>
      <c r="Q56" s="6">
        <v>9887.9</v>
      </c>
      <c r="R56" s="6">
        <v>21228.989999999998</v>
      </c>
      <c r="S56" s="6">
        <v>106808.64</v>
      </c>
      <c r="AE56" s="25" t="s">
        <v>33</v>
      </c>
      <c r="AF56" s="35">
        <v>5</v>
      </c>
      <c r="AG56" s="35">
        <v>6</v>
      </c>
      <c r="AH56" s="35">
        <v>4</v>
      </c>
      <c r="AI56" s="35">
        <v>5</v>
      </c>
      <c r="AJ56" s="35">
        <v>4</v>
      </c>
      <c r="AK56" s="35"/>
      <c r="AL56" s="35"/>
      <c r="AM56" s="35">
        <v>24</v>
      </c>
    </row>
    <row r="57" spans="11:39">
      <c r="K57" s="26" t="s">
        <v>32</v>
      </c>
      <c r="L57" s="6">
        <v>7544.42</v>
      </c>
      <c r="M57" s="6">
        <v>6719.47</v>
      </c>
      <c r="N57" s="6">
        <v>761.79</v>
      </c>
      <c r="O57" s="6">
        <v>2888.94</v>
      </c>
      <c r="P57" s="6">
        <v>6254.75</v>
      </c>
      <c r="Q57" s="6">
        <v>2557</v>
      </c>
      <c r="R57" s="6">
        <v>971.70999999999992</v>
      </c>
      <c r="S57" s="6">
        <v>27698.079999999998</v>
      </c>
      <c r="AE57" s="25" t="s">
        <v>21</v>
      </c>
      <c r="AF57" s="35">
        <v>7</v>
      </c>
      <c r="AG57" s="35">
        <v>8</v>
      </c>
      <c r="AH57" s="35">
        <v>5</v>
      </c>
      <c r="AI57" s="35">
        <v>2</v>
      </c>
      <c r="AJ57" s="35">
        <v>7</v>
      </c>
      <c r="AK57" s="35">
        <v>5</v>
      </c>
      <c r="AL57" s="35">
        <v>3</v>
      </c>
      <c r="AM57" s="35">
        <v>37</v>
      </c>
    </row>
    <row r="58" spans="11:39">
      <c r="K58" s="26" t="s">
        <v>41</v>
      </c>
      <c r="L58" s="6">
        <v>8183.26</v>
      </c>
      <c r="M58" s="6">
        <v>9625.7200000000012</v>
      </c>
      <c r="N58" s="6">
        <v>6416.19</v>
      </c>
      <c r="O58" s="6">
        <v>5585.13</v>
      </c>
      <c r="P58" s="6">
        <v>5504.58</v>
      </c>
      <c r="Q58" s="6">
        <v>2086.6</v>
      </c>
      <c r="R58" s="6"/>
      <c r="S58" s="6">
        <v>37401.480000000003</v>
      </c>
      <c r="AE58" s="25" t="s">
        <v>47</v>
      </c>
      <c r="AF58" s="35">
        <v>4</v>
      </c>
      <c r="AG58" s="35">
        <v>2</v>
      </c>
      <c r="AH58" s="35">
        <v>5</v>
      </c>
      <c r="AI58" s="35">
        <v>4</v>
      </c>
      <c r="AJ58" s="35">
        <v>1</v>
      </c>
      <c r="AK58" s="35">
        <v>6</v>
      </c>
      <c r="AL58" s="35">
        <v>6</v>
      </c>
      <c r="AM58" s="35">
        <v>28</v>
      </c>
    </row>
    <row r="59" spans="11:39">
      <c r="K59" s="26" t="s">
        <v>52</v>
      </c>
      <c r="L59" s="6"/>
      <c r="M59" s="6"/>
      <c r="N59" s="6"/>
      <c r="O59" s="6">
        <v>6119.23</v>
      </c>
      <c r="P59" s="6">
        <v>1146.1199999999999</v>
      </c>
      <c r="Q59" s="6">
        <v>4295.88</v>
      </c>
      <c r="R59" s="6">
        <v>4738.96</v>
      </c>
      <c r="S59" s="6">
        <v>16300.189999999999</v>
      </c>
      <c r="AE59" s="25" t="s">
        <v>16</v>
      </c>
      <c r="AF59" s="35"/>
      <c r="AG59" s="35">
        <v>7</v>
      </c>
      <c r="AH59" s="35">
        <v>4</v>
      </c>
      <c r="AI59" s="35">
        <v>4</v>
      </c>
      <c r="AJ59" s="35">
        <v>2</v>
      </c>
      <c r="AK59" s="35">
        <v>3</v>
      </c>
      <c r="AL59" s="35">
        <v>4</v>
      </c>
      <c r="AM59" s="35">
        <v>24</v>
      </c>
    </row>
    <row r="60" spans="11:39">
      <c r="K60" s="26" t="s">
        <v>20</v>
      </c>
      <c r="L60" s="6"/>
      <c r="M60" s="6"/>
      <c r="N60" s="6">
        <v>3996.05</v>
      </c>
      <c r="O60" s="6"/>
      <c r="P60" s="6">
        <v>4946.1000000000004</v>
      </c>
      <c r="Q60" s="6">
        <v>948.42</v>
      </c>
      <c r="R60" s="6">
        <v>15518.32</v>
      </c>
      <c r="S60" s="6">
        <v>25408.89</v>
      </c>
      <c r="AE60" s="25" t="s">
        <v>67</v>
      </c>
      <c r="AF60" s="35">
        <v>27</v>
      </c>
      <c r="AG60" s="35">
        <v>39</v>
      </c>
      <c r="AH60" s="35">
        <v>29</v>
      </c>
      <c r="AI60" s="35">
        <v>31</v>
      </c>
      <c r="AJ60" s="35">
        <v>23</v>
      </c>
      <c r="AK60" s="35">
        <v>26</v>
      </c>
      <c r="AL60" s="35">
        <v>25</v>
      </c>
      <c r="AM60" s="35">
        <v>200</v>
      </c>
    </row>
    <row r="61" spans="11:39">
      <c r="K61" s="25" t="s">
        <v>67</v>
      </c>
      <c r="L61" s="6">
        <v>68976.39</v>
      </c>
      <c r="M61" s="6">
        <v>67730.429999999993</v>
      </c>
      <c r="N61" s="6">
        <v>75659.25</v>
      </c>
      <c r="O61" s="6">
        <v>51504.740000000005</v>
      </c>
      <c r="P61" s="6">
        <v>54599.55</v>
      </c>
      <c r="Q61" s="6">
        <v>51216.37999999999</v>
      </c>
      <c r="R61" s="6">
        <v>78333.899999999994</v>
      </c>
      <c r="S61" s="6">
        <v>448020.64000000007</v>
      </c>
    </row>
    <row r="65" spans="11:19">
      <c r="K65" s="24" t="s">
        <v>70</v>
      </c>
      <c r="L65" s="24" t="s">
        <v>1</v>
      </c>
    </row>
    <row r="66" spans="11:19">
      <c r="K66" s="24" t="s">
        <v>72</v>
      </c>
      <c r="L66" t="s">
        <v>38</v>
      </c>
      <c r="M66" t="s">
        <v>29</v>
      </c>
      <c r="N66" t="s">
        <v>31</v>
      </c>
      <c r="O66" t="s">
        <v>8</v>
      </c>
      <c r="P66" t="s">
        <v>18</v>
      </c>
      <c r="Q66" t="s">
        <v>13</v>
      </c>
      <c r="R66" t="s">
        <v>48</v>
      </c>
      <c r="S66" t="s">
        <v>67</v>
      </c>
    </row>
    <row r="67" spans="11:19">
      <c r="K67" s="25" t="s">
        <v>14</v>
      </c>
      <c r="L67" s="27">
        <v>39.375944270720829</v>
      </c>
      <c r="M67" s="27">
        <v>46.229987900744653</v>
      </c>
      <c r="N67" s="27">
        <v>36.096620139867909</v>
      </c>
      <c r="O67" s="27">
        <v>43.37913644628658</v>
      </c>
      <c r="P67" s="27">
        <v>81.869576402008164</v>
      </c>
      <c r="Q67" s="27">
        <v>45.771226952973599</v>
      </c>
      <c r="R67" s="27">
        <v>66.925583249928451</v>
      </c>
      <c r="S67" s="27">
        <v>47.660041532930627</v>
      </c>
    </row>
    <row r="68" spans="11:19">
      <c r="K68" s="26" t="s">
        <v>26</v>
      </c>
      <c r="L68" s="27"/>
      <c r="M68" s="27">
        <v>47.223712673385549</v>
      </c>
      <c r="N68" s="27">
        <v>19.311950591408934</v>
      </c>
      <c r="O68" s="27">
        <v>32.943893087760493</v>
      </c>
      <c r="P68" s="27">
        <v>86.409105229993699</v>
      </c>
      <c r="Q68" s="27">
        <v>48.576424152894468</v>
      </c>
      <c r="R68" s="27"/>
      <c r="S68" s="27">
        <v>41.476012493841765</v>
      </c>
    </row>
    <row r="69" spans="11:19">
      <c r="K69" s="26" t="s">
        <v>15</v>
      </c>
      <c r="L69" s="27">
        <v>48.597018556186015</v>
      </c>
      <c r="M69" s="27">
        <v>55.906601271628936</v>
      </c>
      <c r="N69" s="27"/>
      <c r="O69" s="27">
        <v>64.049442075053378</v>
      </c>
      <c r="P69" s="27"/>
      <c r="Q69" s="27">
        <v>44.368628353013165</v>
      </c>
      <c r="R69" s="27">
        <v>74.74932029419476</v>
      </c>
      <c r="S69" s="27">
        <v>57.892968749556516</v>
      </c>
    </row>
    <row r="70" spans="11:19">
      <c r="K70" s="26" t="s">
        <v>45</v>
      </c>
      <c r="L70" s="27">
        <v>11.938758177526616</v>
      </c>
      <c r="M70" s="27">
        <v>47.020463410623066</v>
      </c>
      <c r="N70" s="27">
        <v>52.881289688326888</v>
      </c>
      <c r="O70" s="27">
        <v>13.263206037045505</v>
      </c>
      <c r="P70" s="27">
        <v>77.330047574022643</v>
      </c>
      <c r="Q70" s="27"/>
      <c r="R70" s="27"/>
      <c r="S70" s="27">
        <v>40.795062872483122</v>
      </c>
    </row>
    <row r="71" spans="11:19">
      <c r="K71" s="26" t="s">
        <v>42</v>
      </c>
      <c r="L71" s="27">
        <v>66.587093600713672</v>
      </c>
      <c r="M71" s="27">
        <v>31.475886702792138</v>
      </c>
      <c r="N71" s="27"/>
      <c r="O71" s="27">
        <v>42.58969895652011</v>
      </c>
      <c r="P71" s="27"/>
      <c r="Q71" s="27"/>
      <c r="R71" s="27">
        <v>55.189977683529008</v>
      </c>
      <c r="S71" s="27">
        <v>44.854915433238311</v>
      </c>
    </row>
    <row r="72" spans="11:19">
      <c r="K72" s="25" t="s">
        <v>9</v>
      </c>
      <c r="L72" s="27">
        <v>43.236675948369609</v>
      </c>
      <c r="M72" s="27">
        <v>34.647365987712689</v>
      </c>
      <c r="N72" s="27">
        <v>38.219156961478063</v>
      </c>
      <c r="O72" s="27">
        <v>38.683118613527071</v>
      </c>
      <c r="P72" s="27">
        <v>45.897105346472415</v>
      </c>
      <c r="Q72" s="27">
        <v>50.76624588972912</v>
      </c>
      <c r="R72" s="27">
        <v>57.635949285025639</v>
      </c>
      <c r="S72" s="27">
        <v>42.931224781190181</v>
      </c>
    </row>
    <row r="73" spans="11:19">
      <c r="K73" s="26" t="s">
        <v>50</v>
      </c>
      <c r="L73" s="27">
        <v>10.117568725609269</v>
      </c>
      <c r="M73" s="27">
        <v>38.020980049823585</v>
      </c>
      <c r="N73" s="27">
        <v>71.50624296387268</v>
      </c>
      <c r="O73" s="27">
        <v>23.508826768159398</v>
      </c>
      <c r="P73" s="27">
        <v>54.224888433682054</v>
      </c>
      <c r="Q73" s="27">
        <v>27.41805314569455</v>
      </c>
      <c r="R73" s="27"/>
      <c r="S73" s="27">
        <v>35.176540010034273</v>
      </c>
    </row>
    <row r="74" spans="11:19">
      <c r="K74" s="26" t="s">
        <v>46</v>
      </c>
      <c r="L74" s="27">
        <v>60.252809350891106</v>
      </c>
      <c r="M74" s="27">
        <v>29.586944894546345</v>
      </c>
      <c r="N74" s="27">
        <v>38.518397577131225</v>
      </c>
      <c r="O74" s="27">
        <v>77.122026694280052</v>
      </c>
      <c r="P74" s="27">
        <v>46.277950921359192</v>
      </c>
      <c r="Q74" s="27">
        <v>77.387092277669367</v>
      </c>
      <c r="R74" s="27">
        <v>57.057407931688218</v>
      </c>
      <c r="S74" s="27">
        <v>52.655916562726134</v>
      </c>
    </row>
    <row r="75" spans="11:19">
      <c r="K75" s="26" t="s">
        <v>53</v>
      </c>
      <c r="L75" s="27">
        <v>36.92717683510061</v>
      </c>
      <c r="M75" s="27"/>
      <c r="N75" s="27">
        <v>21.27637334462759</v>
      </c>
      <c r="O75" s="27">
        <v>9.5039361689317197</v>
      </c>
      <c r="P75" s="27">
        <v>53.302223451698126</v>
      </c>
      <c r="Q75" s="27">
        <v>70.841784989858013</v>
      </c>
      <c r="R75" s="27">
        <v>58.793031991700474</v>
      </c>
      <c r="S75" s="27">
        <v>39.854890290472575</v>
      </c>
    </row>
    <row r="76" spans="11:19">
      <c r="K76" s="26" t="s">
        <v>10</v>
      </c>
      <c r="L76" s="27">
        <v>41.466577695614205</v>
      </c>
      <c r="M76" s="27"/>
      <c r="N76" s="27"/>
      <c r="O76" s="27">
        <v>55.439132113251411</v>
      </c>
      <c r="P76" s="27">
        <v>7.568004263473135</v>
      </c>
      <c r="Q76" s="27"/>
      <c r="R76" s="27"/>
      <c r="S76" s="27">
        <v>42.612161955724289</v>
      </c>
    </row>
    <row r="77" spans="11:19">
      <c r="K77" s="25" t="s">
        <v>23</v>
      </c>
      <c r="L77" s="27">
        <v>39.751433477549043</v>
      </c>
      <c r="M77" s="27">
        <v>20.258483110444555</v>
      </c>
      <c r="N77" s="27">
        <v>62.132439721994828</v>
      </c>
      <c r="O77" s="27">
        <v>21.03171948921997</v>
      </c>
      <c r="P77" s="27">
        <v>67.46458581828756</v>
      </c>
      <c r="Q77" s="27">
        <v>54.793710588345064</v>
      </c>
      <c r="R77" s="27">
        <v>37.813701042526361</v>
      </c>
      <c r="S77" s="27">
        <v>39.938068350503485</v>
      </c>
    </row>
    <row r="78" spans="11:19">
      <c r="K78" s="26" t="s">
        <v>55</v>
      </c>
      <c r="L78" s="27">
        <v>17.752979644253323</v>
      </c>
      <c r="M78" s="27"/>
      <c r="N78" s="27"/>
      <c r="O78" s="27">
        <v>72.332114052256344</v>
      </c>
      <c r="P78" s="27"/>
      <c r="Q78" s="27">
        <v>77.231283954842553</v>
      </c>
      <c r="R78" s="27">
        <v>87.501310916206236</v>
      </c>
      <c r="S78" s="27">
        <v>54.514133642362353</v>
      </c>
    </row>
    <row r="79" spans="11:19">
      <c r="K79" s="26" t="s">
        <v>30</v>
      </c>
      <c r="L79" s="27">
        <v>44.717000884060774</v>
      </c>
      <c r="M79" s="27">
        <v>5.361975714400673</v>
      </c>
      <c r="N79" s="27">
        <v>87.000292984951869</v>
      </c>
      <c r="O79" s="27">
        <v>39.860365829775567</v>
      </c>
      <c r="P79" s="27"/>
      <c r="Q79" s="27">
        <v>41.409159159159167</v>
      </c>
      <c r="R79" s="27">
        <v>12.423623786948506</v>
      </c>
      <c r="S79" s="27">
        <v>35.989130378788232</v>
      </c>
    </row>
    <row r="80" spans="11:19">
      <c r="K80" s="26" t="s">
        <v>24</v>
      </c>
      <c r="L80" s="27">
        <v>73.817206331117006</v>
      </c>
      <c r="M80" s="27"/>
      <c r="N80" s="27">
        <v>42.981676292559953</v>
      </c>
      <c r="O80" s="27">
        <v>11.755454133705003</v>
      </c>
      <c r="P80" s="27">
        <v>61.336090010396838</v>
      </c>
      <c r="Q80" s="27">
        <v>27.760599298693016</v>
      </c>
      <c r="R80" s="27"/>
      <c r="S80" s="27">
        <v>38.051931343721861</v>
      </c>
    </row>
    <row r="81" spans="11:19">
      <c r="K81" s="26" t="s">
        <v>44</v>
      </c>
      <c r="L81" s="27"/>
      <c r="M81" s="27">
        <v>25.223985575792511</v>
      </c>
      <c r="N81" s="27">
        <v>75.566113317907536</v>
      </c>
      <c r="O81" s="27">
        <v>10.023726328709282</v>
      </c>
      <c r="P81" s="27">
        <v>85.85007324195972</v>
      </c>
      <c r="Q81" s="27">
        <v>72.773799940685507</v>
      </c>
      <c r="R81" s="27">
        <v>38.906245680002208</v>
      </c>
      <c r="S81" s="27">
        <v>37.883936789406036</v>
      </c>
    </row>
    <row r="82" spans="11:19">
      <c r="K82" s="25" t="s">
        <v>34</v>
      </c>
      <c r="L82" s="27">
        <v>44.226311950700463</v>
      </c>
      <c r="M82" s="27">
        <v>46.609969550965602</v>
      </c>
      <c r="N82" s="27">
        <v>65.386122333009283</v>
      </c>
      <c r="O82" s="27">
        <v>22.795145751839243</v>
      </c>
      <c r="P82" s="27">
        <v>6.5757449044142087</v>
      </c>
      <c r="Q82" s="27">
        <v>45.252084753841125</v>
      </c>
      <c r="R82" s="27">
        <v>62.663702292553616</v>
      </c>
      <c r="S82" s="27">
        <v>47.450083365319657</v>
      </c>
    </row>
    <row r="83" spans="11:19">
      <c r="K83" s="26" t="s">
        <v>43</v>
      </c>
      <c r="L83" s="27">
        <v>37.764957759950981</v>
      </c>
      <c r="M83" s="27">
        <v>42.530128010945496</v>
      </c>
      <c r="N83" s="27"/>
      <c r="O83" s="27">
        <v>43.85565999042084</v>
      </c>
      <c r="P83" s="27"/>
      <c r="Q83" s="27">
        <v>42.965122329375774</v>
      </c>
      <c r="R83" s="27">
        <v>80.573856729895084</v>
      </c>
      <c r="S83" s="27">
        <v>47.075705104112501</v>
      </c>
    </row>
    <row r="84" spans="11:19">
      <c r="K84" s="26" t="s">
        <v>35</v>
      </c>
      <c r="L84" s="27">
        <v>50.687666141449938</v>
      </c>
      <c r="M84" s="27">
        <v>55.388958869596195</v>
      </c>
      <c r="N84" s="27">
        <v>55.031400486518827</v>
      </c>
      <c r="O84" s="27">
        <v>18.834375266354858</v>
      </c>
      <c r="P84" s="27"/>
      <c r="Q84" s="27">
        <v>44.6795380432754</v>
      </c>
      <c r="R84" s="27">
        <v>68.374693334028592</v>
      </c>
      <c r="S84" s="27">
        <v>48.291707517156176</v>
      </c>
    </row>
    <row r="85" spans="11:19">
      <c r="K85" s="26" t="s">
        <v>49</v>
      </c>
      <c r="L85" s="27"/>
      <c r="M85" s="27">
        <v>40.319656590049171</v>
      </c>
      <c r="N85" s="27">
        <v>67.910306196892719</v>
      </c>
      <c r="O85" s="27">
        <v>6.3008033464847655</v>
      </c>
      <c r="P85" s="27">
        <v>6.5757449044142087</v>
      </c>
      <c r="Q85" s="27">
        <v>62.321715233571297</v>
      </c>
      <c r="R85" s="27">
        <v>47.997634032407923</v>
      </c>
      <c r="S85" s="27">
        <v>45.556376332006259</v>
      </c>
    </row>
    <row r="86" spans="11:19">
      <c r="K86" s="26" t="s">
        <v>56</v>
      </c>
      <c r="L86" s="27"/>
      <c r="M86" s="27">
        <v>53.872141455597621</v>
      </c>
      <c r="N86" s="27">
        <v>77.131929306919858</v>
      </c>
      <c r="O86" s="27">
        <v>5.0900006509992846</v>
      </c>
      <c r="P86" s="27"/>
      <c r="Q86" s="27">
        <v>33.332150251404912</v>
      </c>
      <c r="R86" s="27"/>
      <c r="S86" s="27">
        <v>49.311630194368306</v>
      </c>
    </row>
    <row r="87" spans="11:19">
      <c r="K87" s="25" t="s">
        <v>19</v>
      </c>
      <c r="L87" s="27">
        <v>58.653120553957855</v>
      </c>
      <c r="M87" s="27">
        <v>38.486885995567121</v>
      </c>
      <c r="N87" s="27">
        <v>50.893778415704993</v>
      </c>
      <c r="O87" s="27">
        <v>73.920929499635633</v>
      </c>
      <c r="P87" s="27">
        <v>33.488582698147333</v>
      </c>
      <c r="Q87" s="27">
        <v>43.070817866507959</v>
      </c>
      <c r="R87" s="27">
        <v>48.280817788697838</v>
      </c>
      <c r="S87" s="27">
        <v>45.870479731521165</v>
      </c>
    </row>
    <row r="88" spans="11:19">
      <c r="K88" s="26" t="s">
        <v>32</v>
      </c>
      <c r="L88" s="27">
        <v>42.474774712269102</v>
      </c>
      <c r="M88" s="27">
        <v>37.184443307021972</v>
      </c>
      <c r="N88" s="27">
        <v>28.964324511872022</v>
      </c>
      <c r="O88" s="27">
        <v>70.736789526134473</v>
      </c>
      <c r="P88" s="27">
        <v>31.116980818956534</v>
      </c>
      <c r="Q88" s="27">
        <v>53.399335107898871</v>
      </c>
      <c r="R88" s="27">
        <v>15.261602489757614</v>
      </c>
      <c r="S88" s="27">
        <v>37.056075703177683</v>
      </c>
    </row>
    <row r="89" spans="11:19">
      <c r="K89" s="26" t="s">
        <v>41</v>
      </c>
      <c r="L89" s="27">
        <v>69.438684448417021</v>
      </c>
      <c r="M89" s="27">
        <v>39.138107339839699</v>
      </c>
      <c r="N89" s="27">
        <v>58.436945344518648</v>
      </c>
      <c r="O89" s="27">
        <v>77.22876189343647</v>
      </c>
      <c r="P89" s="27">
        <v>32.84518316011944</v>
      </c>
      <c r="Q89" s="27">
        <v>36.336302197123587</v>
      </c>
      <c r="R89" s="27"/>
      <c r="S89" s="27">
        <v>48.160691621438183</v>
      </c>
    </row>
    <row r="90" spans="11:19">
      <c r="K90" s="26" t="s">
        <v>52</v>
      </c>
      <c r="L90" s="27"/>
      <c r="M90" s="27"/>
      <c r="N90" s="27"/>
      <c r="O90" s="27">
        <v>73.797237079335972</v>
      </c>
      <c r="P90" s="27">
        <v>54.861902254559382</v>
      </c>
      <c r="Q90" s="27">
        <v>31.92012262841671</v>
      </c>
      <c r="R90" s="27">
        <v>34.197929921468351</v>
      </c>
      <c r="S90" s="27">
        <v>43.482540738944245</v>
      </c>
    </row>
    <row r="91" spans="11:19">
      <c r="K91" s="26" t="s">
        <v>20</v>
      </c>
      <c r="L91" s="27"/>
      <c r="M91" s="27"/>
      <c r="N91" s="27">
        <v>72.123185436930001</v>
      </c>
      <c r="O91" s="27"/>
      <c r="P91" s="27">
        <v>27.324425045769338</v>
      </c>
      <c r="Q91" s="27">
        <v>58.184205198677319</v>
      </c>
      <c r="R91" s="27">
        <v>71.831869371782687</v>
      </c>
      <c r="S91" s="27">
        <v>59.0354647767846</v>
      </c>
    </row>
    <row r="92" spans="11:19">
      <c r="K92" s="25" t="s">
        <v>67</v>
      </c>
      <c r="L92" s="27">
        <v>44.661523822910624</v>
      </c>
      <c r="M92" s="27">
        <v>40.372367575842325</v>
      </c>
      <c r="N92" s="27">
        <v>51.195065989409706</v>
      </c>
      <c r="O92" s="27">
        <v>34.650960308147461</v>
      </c>
      <c r="P92" s="27">
        <v>46.210879247400591</v>
      </c>
      <c r="Q92" s="27">
        <v>47.040996533365458</v>
      </c>
      <c r="R92" s="27">
        <v>54.33422488188701</v>
      </c>
      <c r="S92" s="27">
        <v>44.91745958263391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240A-568A-4985-8DE1-797908635082}">
  <sheetPr>
    <tabColor rgb="FFFFC000"/>
  </sheetPr>
  <dimension ref="A3:AH92"/>
  <sheetViews>
    <sheetView workbookViewId="0">
      <selection activeCell="R47" sqref="R47"/>
    </sheetView>
  </sheetViews>
  <sheetFormatPr defaultRowHeight="12.75"/>
  <cols>
    <col min="1" max="1" width="19.85546875" bestFit="1" customWidth="1"/>
    <col min="2" max="2" width="13.140625" bestFit="1" customWidth="1"/>
    <col min="3" max="3" width="12.85546875" bestFit="1" customWidth="1"/>
    <col min="4" max="4" width="26.85546875" bestFit="1" customWidth="1"/>
    <col min="5" max="5" width="16" bestFit="1" customWidth="1"/>
    <col min="6" max="6" width="26.85546875" bestFit="1" customWidth="1"/>
    <col min="7" max="7" width="8.85546875" bestFit="1" customWidth="1"/>
    <col min="8" max="18" width="6.7109375" bestFit="1" customWidth="1"/>
    <col min="19" max="19" width="11.7109375" bestFit="1" customWidth="1"/>
    <col min="20" max="20" width="11.85546875" bestFit="1" customWidth="1"/>
    <col min="21" max="21" width="19.85546875" bestFit="1" customWidth="1"/>
    <col min="22" max="22" width="9.85546875" bestFit="1" customWidth="1"/>
    <col min="23" max="23" width="7.42578125" bestFit="1" customWidth="1"/>
    <col min="24" max="24" width="7" bestFit="1" customWidth="1"/>
    <col min="25" max="25" width="9.5703125" bestFit="1" customWidth="1"/>
    <col min="26" max="26" width="13.28515625" bestFit="1" customWidth="1"/>
    <col min="27" max="27" width="6.42578125" bestFit="1" customWidth="1"/>
    <col min="28" max="28" width="11.7109375" bestFit="1" customWidth="1"/>
    <col min="29" max="30" width="4.5703125" bestFit="1" customWidth="1"/>
    <col min="31" max="31" width="4" bestFit="1" customWidth="1"/>
    <col min="32" max="33" width="4.42578125" bestFit="1" customWidth="1"/>
    <col min="34" max="34" width="11.7109375" bestFit="1" customWidth="1"/>
    <col min="35" max="35" width="9.28515625" bestFit="1" customWidth="1"/>
    <col min="36" max="36" width="6.85546875" bestFit="1" customWidth="1"/>
    <col min="37" max="37" width="6.5703125" bestFit="1" customWidth="1"/>
    <col min="38" max="38" width="9" bestFit="1" customWidth="1"/>
    <col min="39" max="39" width="12.42578125" bestFit="1" customWidth="1"/>
    <col min="40" max="40" width="6" bestFit="1" customWidth="1"/>
    <col min="41" max="41" width="10.28515625" bestFit="1" customWidth="1"/>
    <col min="42" max="42" width="9.28515625" bestFit="1" customWidth="1"/>
    <col min="43" max="43" width="6.85546875" bestFit="1" customWidth="1"/>
    <col min="44" max="44" width="6.5703125" bestFit="1" customWidth="1"/>
    <col min="45" max="45" width="9" bestFit="1" customWidth="1"/>
    <col min="46" max="46" width="12.42578125" bestFit="1" customWidth="1"/>
    <col min="47" max="47" width="6" bestFit="1" customWidth="1"/>
    <col min="48" max="48" width="10.140625" bestFit="1" customWidth="1"/>
    <col min="49" max="49" width="9.28515625" bestFit="1" customWidth="1"/>
    <col min="50" max="50" width="6.85546875" bestFit="1" customWidth="1"/>
    <col min="51" max="51" width="6.5703125" bestFit="1" customWidth="1"/>
    <col min="52" max="52" width="9" bestFit="1" customWidth="1"/>
    <col min="53" max="53" width="12.42578125" bestFit="1" customWidth="1"/>
    <col min="54" max="54" width="6" bestFit="1" customWidth="1"/>
    <col min="55" max="55" width="8.85546875" bestFit="1" customWidth="1"/>
    <col min="56" max="56" width="9.28515625" bestFit="1" customWidth="1"/>
    <col min="57" max="57" width="9" bestFit="1" customWidth="1"/>
    <col min="58" max="58" width="12.42578125" bestFit="1" customWidth="1"/>
    <col min="59" max="59" width="6" bestFit="1" customWidth="1"/>
    <col min="60" max="60" width="10.5703125" bestFit="1" customWidth="1"/>
    <col min="61" max="61" width="9.28515625" bestFit="1" customWidth="1"/>
    <col min="62" max="62" width="6.85546875" bestFit="1" customWidth="1"/>
    <col min="63" max="63" width="9" bestFit="1" customWidth="1"/>
    <col min="64" max="64" width="12.42578125" bestFit="1" customWidth="1"/>
    <col min="65" max="65" width="6" bestFit="1" customWidth="1"/>
    <col min="66" max="66" width="10.85546875" bestFit="1" customWidth="1"/>
    <col min="67" max="67" width="11" bestFit="1" customWidth="1"/>
  </cols>
  <sheetData>
    <row r="3" spans="1:34">
      <c r="A3" s="24" t="s">
        <v>72</v>
      </c>
      <c r="B3" t="s">
        <v>68</v>
      </c>
      <c r="C3" t="s">
        <v>69</v>
      </c>
      <c r="D3" t="s">
        <v>70</v>
      </c>
      <c r="F3" s="24" t="s">
        <v>69</v>
      </c>
      <c r="G3" s="24" t="s">
        <v>0</v>
      </c>
      <c r="U3" s="24" t="s">
        <v>71</v>
      </c>
      <c r="V3" s="24" t="s">
        <v>0</v>
      </c>
    </row>
    <row r="4" spans="1:34">
      <c r="A4" s="25" t="s">
        <v>14</v>
      </c>
      <c r="B4" s="6">
        <v>188231.41</v>
      </c>
      <c r="C4" s="6">
        <v>89527.419999999969</v>
      </c>
      <c r="D4" s="27">
        <v>47.660041532930634</v>
      </c>
      <c r="F4" s="24" t="s">
        <v>72</v>
      </c>
      <c r="G4" t="s">
        <v>36</v>
      </c>
      <c r="H4" t="s">
        <v>25</v>
      </c>
      <c r="I4" t="s">
        <v>28</v>
      </c>
      <c r="J4" t="s">
        <v>39</v>
      </c>
      <c r="K4" t="s">
        <v>7</v>
      </c>
      <c r="L4" t="s">
        <v>17</v>
      </c>
      <c r="M4" t="s">
        <v>37</v>
      </c>
      <c r="N4" t="s">
        <v>40</v>
      </c>
      <c r="O4" t="s">
        <v>54</v>
      </c>
      <c r="P4" t="s">
        <v>51</v>
      </c>
      <c r="Q4" t="s">
        <v>12</v>
      </c>
      <c r="R4" t="s">
        <v>22</v>
      </c>
      <c r="S4" t="s">
        <v>67</v>
      </c>
      <c r="U4" s="24" t="s">
        <v>72</v>
      </c>
      <c r="V4" t="s">
        <v>36</v>
      </c>
      <c r="W4" t="s">
        <v>25</v>
      </c>
      <c r="X4" t="s">
        <v>28</v>
      </c>
      <c r="Y4" t="s">
        <v>39</v>
      </c>
      <c r="Z4" t="s">
        <v>7</v>
      </c>
      <c r="AA4" t="s">
        <v>17</v>
      </c>
      <c r="AB4" t="s">
        <v>37</v>
      </c>
      <c r="AC4" t="s">
        <v>40</v>
      </c>
      <c r="AD4" t="s">
        <v>54</v>
      </c>
      <c r="AE4" t="s">
        <v>51</v>
      </c>
      <c r="AF4" t="s">
        <v>12</v>
      </c>
      <c r="AG4" t="s">
        <v>22</v>
      </c>
      <c r="AH4" t="s">
        <v>67</v>
      </c>
    </row>
    <row r="5" spans="1:34">
      <c r="A5" s="26" t="s">
        <v>26</v>
      </c>
      <c r="B5" s="6">
        <v>43767.72</v>
      </c>
      <c r="C5" s="6">
        <v>14468.99</v>
      </c>
      <c r="D5" s="27">
        <v>41.476012493841765</v>
      </c>
      <c r="F5" s="25" t="s">
        <v>14</v>
      </c>
      <c r="G5" s="6">
        <v>6951.02</v>
      </c>
      <c r="H5" s="6">
        <v>7237.32</v>
      </c>
      <c r="I5" s="6">
        <v>5847.49</v>
      </c>
      <c r="J5" s="6">
        <v>6398.35</v>
      </c>
      <c r="K5" s="6">
        <v>1626.22</v>
      </c>
      <c r="L5" s="6">
        <v>7432.41</v>
      </c>
      <c r="M5" s="6">
        <v>14500.61</v>
      </c>
      <c r="N5" s="6">
        <v>12305</v>
      </c>
      <c r="O5" s="6"/>
      <c r="P5" s="6">
        <v>2033.0099999999998</v>
      </c>
      <c r="Q5" s="6">
        <v>8253.5</v>
      </c>
      <c r="R5" s="6">
        <v>16942.489999999998</v>
      </c>
      <c r="S5" s="6">
        <v>89527.42</v>
      </c>
      <c r="U5" s="25" t="s">
        <v>14</v>
      </c>
      <c r="V5" s="35">
        <v>4</v>
      </c>
      <c r="W5" s="35">
        <v>5</v>
      </c>
      <c r="X5" s="35">
        <v>3</v>
      </c>
      <c r="Y5" s="35">
        <v>2</v>
      </c>
      <c r="Z5" s="35">
        <v>3</v>
      </c>
      <c r="AA5" s="35">
        <v>4</v>
      </c>
      <c r="AB5" s="35">
        <v>5</v>
      </c>
      <c r="AC5" s="35">
        <v>3</v>
      </c>
      <c r="AD5" s="35"/>
      <c r="AE5" s="35">
        <v>3</v>
      </c>
      <c r="AF5" s="35">
        <v>2</v>
      </c>
      <c r="AG5" s="35">
        <v>6</v>
      </c>
      <c r="AH5" s="35">
        <v>40</v>
      </c>
    </row>
    <row r="6" spans="1:34">
      <c r="A6" s="26" t="s">
        <v>15</v>
      </c>
      <c r="B6" s="6">
        <v>80356.490000000005</v>
      </c>
      <c r="C6" s="6">
        <v>46950.18</v>
      </c>
      <c r="D6" s="27">
        <v>57.892968749556516</v>
      </c>
      <c r="F6" s="26" t="s">
        <v>26</v>
      </c>
      <c r="G6" s="6"/>
      <c r="H6" s="6">
        <v>2873.34</v>
      </c>
      <c r="I6" s="6">
        <v>841.81</v>
      </c>
      <c r="J6" s="6">
        <v>2548.19</v>
      </c>
      <c r="K6" s="6"/>
      <c r="L6" s="6">
        <v>1414.19</v>
      </c>
      <c r="M6" s="6"/>
      <c r="N6" s="6">
        <v>195.59</v>
      </c>
      <c r="O6" s="6"/>
      <c r="P6" s="6">
        <v>1115.8699999999999</v>
      </c>
      <c r="Q6" s="6"/>
      <c r="R6" s="6">
        <v>5480</v>
      </c>
      <c r="S6" s="6">
        <v>14468.990000000002</v>
      </c>
      <c r="U6" s="26" t="s">
        <v>26</v>
      </c>
      <c r="V6" s="35"/>
      <c r="W6" s="35">
        <v>1</v>
      </c>
      <c r="X6" s="35">
        <v>1</v>
      </c>
      <c r="Y6" s="35">
        <v>1</v>
      </c>
      <c r="Z6" s="35"/>
      <c r="AA6" s="35">
        <v>1</v>
      </c>
      <c r="AB6" s="35"/>
      <c r="AC6" s="35">
        <v>1</v>
      </c>
      <c r="AD6" s="35"/>
      <c r="AE6" s="35">
        <v>2</v>
      </c>
      <c r="AF6" s="35"/>
      <c r="AG6" s="35">
        <v>3</v>
      </c>
      <c r="AH6" s="35">
        <v>10</v>
      </c>
    </row>
    <row r="7" spans="1:34">
      <c r="A7" s="26" t="s">
        <v>45</v>
      </c>
      <c r="B7" s="6">
        <v>41871.17</v>
      </c>
      <c r="C7" s="6">
        <v>17063.830000000002</v>
      </c>
      <c r="D7" s="27">
        <v>40.795062872483129</v>
      </c>
      <c r="F7" s="26" t="s">
        <v>15</v>
      </c>
      <c r="G7" s="6">
        <v>101.3</v>
      </c>
      <c r="H7" s="6"/>
      <c r="I7" s="6">
        <v>3917.47</v>
      </c>
      <c r="J7" s="6">
        <v>3850.16</v>
      </c>
      <c r="K7" s="6">
        <v>1408.89</v>
      </c>
      <c r="L7" s="6">
        <v>5539.46</v>
      </c>
      <c r="M7" s="6">
        <v>6029.98</v>
      </c>
      <c r="N7" s="6">
        <v>5469.79</v>
      </c>
      <c r="O7" s="6"/>
      <c r="P7" s="6">
        <v>917.14</v>
      </c>
      <c r="Q7" s="6">
        <v>8253.5</v>
      </c>
      <c r="R7" s="6">
        <v>11462.49</v>
      </c>
      <c r="S7" s="6">
        <v>46950.18</v>
      </c>
      <c r="U7" s="26" t="s">
        <v>15</v>
      </c>
      <c r="V7" s="35">
        <v>1</v>
      </c>
      <c r="W7" s="35"/>
      <c r="X7" s="35">
        <v>1</v>
      </c>
      <c r="Y7" s="35">
        <v>1</v>
      </c>
      <c r="Z7" s="35">
        <v>1</v>
      </c>
      <c r="AA7" s="35">
        <v>2</v>
      </c>
      <c r="AB7" s="35">
        <v>1</v>
      </c>
      <c r="AC7" s="35">
        <v>1</v>
      </c>
      <c r="AD7" s="35"/>
      <c r="AE7" s="35">
        <v>1</v>
      </c>
      <c r="AF7" s="35">
        <v>2</v>
      </c>
      <c r="AG7" s="35">
        <v>3</v>
      </c>
      <c r="AH7" s="35">
        <v>14</v>
      </c>
    </row>
    <row r="8" spans="1:34">
      <c r="A8" s="26" t="s">
        <v>42</v>
      </c>
      <c r="B8" s="6">
        <v>22236.03</v>
      </c>
      <c r="C8" s="6">
        <v>11044.420000000002</v>
      </c>
      <c r="D8" s="27">
        <v>44.854915433238318</v>
      </c>
      <c r="F8" s="26" t="s">
        <v>45</v>
      </c>
      <c r="G8" s="6">
        <v>6849.72</v>
      </c>
      <c r="H8" s="6">
        <v>1391.73</v>
      </c>
      <c r="I8" s="6">
        <v>1088.21</v>
      </c>
      <c r="J8" s="6"/>
      <c r="K8" s="6">
        <v>186.29</v>
      </c>
      <c r="L8" s="6"/>
      <c r="M8" s="6">
        <v>908.26</v>
      </c>
      <c r="N8" s="6">
        <v>6639.62</v>
      </c>
      <c r="O8" s="6"/>
      <c r="P8" s="6"/>
      <c r="Q8" s="6"/>
      <c r="R8" s="6"/>
      <c r="S8" s="6">
        <v>17063.830000000002</v>
      </c>
      <c r="U8" s="26" t="s">
        <v>45</v>
      </c>
      <c r="V8" s="35">
        <v>3</v>
      </c>
      <c r="W8" s="35">
        <v>2</v>
      </c>
      <c r="X8" s="35">
        <v>1</v>
      </c>
      <c r="Y8" s="35"/>
      <c r="Z8" s="35">
        <v>1</v>
      </c>
      <c r="AA8" s="35"/>
      <c r="AB8" s="35">
        <v>1</v>
      </c>
      <c r="AC8" s="35">
        <v>1</v>
      </c>
      <c r="AD8" s="35"/>
      <c r="AE8" s="35"/>
      <c r="AF8" s="35"/>
      <c r="AG8" s="35"/>
      <c r="AH8" s="35">
        <v>9</v>
      </c>
    </row>
    <row r="9" spans="1:34">
      <c r="A9" s="25" t="s">
        <v>9</v>
      </c>
      <c r="B9" s="6">
        <v>195290.75</v>
      </c>
      <c r="C9" s="6">
        <v>86543.479999999981</v>
      </c>
      <c r="D9" s="27">
        <v>42.931224781190174</v>
      </c>
      <c r="F9" s="26" t="s">
        <v>42</v>
      </c>
      <c r="G9" s="6"/>
      <c r="H9" s="6">
        <v>2972.25</v>
      </c>
      <c r="I9" s="6"/>
      <c r="J9" s="6"/>
      <c r="K9" s="6">
        <v>31.04</v>
      </c>
      <c r="L9" s="6">
        <v>478.76</v>
      </c>
      <c r="M9" s="6">
        <v>7562.3700000000008</v>
      </c>
      <c r="N9" s="6"/>
      <c r="O9" s="6"/>
      <c r="P9" s="6"/>
      <c r="Q9" s="6"/>
      <c r="R9" s="6"/>
      <c r="S9" s="6">
        <v>11044.420000000002</v>
      </c>
      <c r="U9" s="26" t="s">
        <v>42</v>
      </c>
      <c r="V9" s="35"/>
      <c r="W9" s="35">
        <v>2</v>
      </c>
      <c r="X9" s="35"/>
      <c r="Y9" s="35"/>
      <c r="Z9" s="35">
        <v>1</v>
      </c>
      <c r="AA9" s="35">
        <v>1</v>
      </c>
      <c r="AB9" s="35">
        <v>3</v>
      </c>
      <c r="AC9" s="35"/>
      <c r="AD9" s="35"/>
      <c r="AE9" s="35"/>
      <c r="AF9" s="35"/>
      <c r="AG9" s="35"/>
      <c r="AH9" s="35">
        <v>7</v>
      </c>
    </row>
    <row r="10" spans="1:34">
      <c r="A10" s="26" t="s">
        <v>50</v>
      </c>
      <c r="B10" s="6">
        <v>43802.920000000006</v>
      </c>
      <c r="C10" s="6">
        <v>14553.21</v>
      </c>
      <c r="D10" s="27">
        <v>35.176540010034266</v>
      </c>
      <c r="F10" s="25" t="s">
        <v>9</v>
      </c>
      <c r="G10" s="6">
        <v>11902.5</v>
      </c>
      <c r="H10" s="6">
        <v>10806.3</v>
      </c>
      <c r="I10" s="6">
        <v>4570.8500000000004</v>
      </c>
      <c r="J10" s="6">
        <v>12076.11</v>
      </c>
      <c r="K10" s="6">
        <v>8537.41</v>
      </c>
      <c r="L10" s="6">
        <v>15846.2</v>
      </c>
      <c r="M10" s="6">
        <v>2219.9500000000003</v>
      </c>
      <c r="N10" s="6">
        <v>2136.2600000000002</v>
      </c>
      <c r="O10" s="6">
        <v>4470.34</v>
      </c>
      <c r="P10" s="6">
        <v>10425.540000000001</v>
      </c>
      <c r="Q10" s="6">
        <v>2871.9500000000003</v>
      </c>
      <c r="R10" s="6">
        <v>680.06999999999994</v>
      </c>
      <c r="S10" s="6">
        <v>86543.48</v>
      </c>
      <c r="U10" s="25" t="s">
        <v>9</v>
      </c>
      <c r="V10" s="35">
        <v>4</v>
      </c>
      <c r="W10" s="35">
        <v>4</v>
      </c>
      <c r="X10" s="35">
        <v>2</v>
      </c>
      <c r="Y10" s="35">
        <v>6</v>
      </c>
      <c r="Z10" s="35">
        <v>2</v>
      </c>
      <c r="AA10" s="35">
        <v>6</v>
      </c>
      <c r="AB10" s="35">
        <v>3</v>
      </c>
      <c r="AC10" s="35">
        <v>3</v>
      </c>
      <c r="AD10" s="35">
        <v>2</v>
      </c>
      <c r="AE10" s="35">
        <v>4</v>
      </c>
      <c r="AF10" s="35">
        <v>3</v>
      </c>
      <c r="AG10" s="35">
        <v>2</v>
      </c>
      <c r="AH10" s="35">
        <v>41</v>
      </c>
    </row>
    <row r="11" spans="1:34">
      <c r="A11" s="26" t="s">
        <v>46</v>
      </c>
      <c r="B11" s="6">
        <v>58968.3</v>
      </c>
      <c r="C11" s="6">
        <v>30924.13</v>
      </c>
      <c r="D11" s="27">
        <v>52.655916562726127</v>
      </c>
      <c r="F11" s="26" t="s">
        <v>50</v>
      </c>
      <c r="G11" s="6">
        <v>8612.24</v>
      </c>
      <c r="H11" s="6">
        <v>301.48</v>
      </c>
      <c r="I11" s="6"/>
      <c r="J11" s="6">
        <v>1195.5</v>
      </c>
      <c r="K11" s="6"/>
      <c r="L11" s="6">
        <v>2202.1</v>
      </c>
      <c r="M11" s="6">
        <v>164.11</v>
      </c>
      <c r="N11" s="6">
        <v>976.75</v>
      </c>
      <c r="O11" s="6">
        <v>531.24</v>
      </c>
      <c r="P11" s="6">
        <v>569.79</v>
      </c>
      <c r="Q11" s="6"/>
      <c r="R11" s="6"/>
      <c r="S11" s="6">
        <v>14553.21</v>
      </c>
      <c r="U11" s="26" t="s">
        <v>50</v>
      </c>
      <c r="V11" s="35">
        <v>2</v>
      </c>
      <c r="W11" s="35">
        <v>1</v>
      </c>
      <c r="X11" s="35"/>
      <c r="Y11" s="35">
        <v>2</v>
      </c>
      <c r="Z11" s="35"/>
      <c r="AA11" s="35">
        <v>1</v>
      </c>
      <c r="AB11" s="35">
        <v>1</v>
      </c>
      <c r="AC11" s="35">
        <v>1</v>
      </c>
      <c r="AD11" s="35">
        <v>1</v>
      </c>
      <c r="AE11" s="35">
        <v>1</v>
      </c>
      <c r="AF11" s="35"/>
      <c r="AG11" s="35"/>
      <c r="AH11" s="35">
        <v>10</v>
      </c>
    </row>
    <row r="12" spans="1:34">
      <c r="A12" s="26" t="s">
        <v>53</v>
      </c>
      <c r="B12" s="6">
        <v>57724.159999999996</v>
      </c>
      <c r="C12" s="6">
        <v>24814.349999999991</v>
      </c>
      <c r="D12" s="27">
        <v>39.854890290472568</v>
      </c>
      <c r="F12" s="26" t="s">
        <v>46</v>
      </c>
      <c r="G12" s="6"/>
      <c r="H12" s="6">
        <v>1180.96</v>
      </c>
      <c r="I12" s="6">
        <v>4570.8500000000004</v>
      </c>
      <c r="J12" s="6">
        <v>4128.82</v>
      </c>
      <c r="K12" s="6"/>
      <c r="L12" s="6">
        <v>9015.59</v>
      </c>
      <c r="M12" s="6">
        <v>1713.38</v>
      </c>
      <c r="N12" s="6">
        <v>483.23</v>
      </c>
      <c r="O12" s="6"/>
      <c r="P12" s="6">
        <v>7202.13</v>
      </c>
      <c r="Q12" s="6">
        <v>2629.17</v>
      </c>
      <c r="R12" s="6"/>
      <c r="S12" s="6">
        <v>30924.130000000005</v>
      </c>
      <c r="U12" s="26" t="s">
        <v>46</v>
      </c>
      <c r="V12" s="35"/>
      <c r="W12" s="35">
        <v>1</v>
      </c>
      <c r="X12" s="35">
        <v>2</v>
      </c>
      <c r="Y12" s="35">
        <v>2</v>
      </c>
      <c r="Z12" s="35"/>
      <c r="AA12" s="35">
        <v>2</v>
      </c>
      <c r="AB12" s="35">
        <v>1</v>
      </c>
      <c r="AC12" s="35">
        <v>1</v>
      </c>
      <c r="AD12" s="35"/>
      <c r="AE12" s="35">
        <v>2</v>
      </c>
      <c r="AF12" s="35">
        <v>1</v>
      </c>
      <c r="AG12" s="35"/>
      <c r="AH12" s="35">
        <v>12</v>
      </c>
    </row>
    <row r="13" spans="1:34">
      <c r="A13" s="26" t="s">
        <v>10</v>
      </c>
      <c r="B13" s="6">
        <v>34795.369999999995</v>
      </c>
      <c r="C13" s="6">
        <v>16251.79</v>
      </c>
      <c r="D13" s="27">
        <v>42.612161955724282</v>
      </c>
      <c r="F13" s="26" t="s">
        <v>53</v>
      </c>
      <c r="G13" s="6">
        <v>2227.1799999999998</v>
      </c>
      <c r="H13" s="6">
        <v>2662.93</v>
      </c>
      <c r="I13" s="6"/>
      <c r="J13" s="6">
        <v>6751.79</v>
      </c>
      <c r="K13" s="6">
        <v>7152.55</v>
      </c>
      <c r="L13" s="6">
        <v>585.11</v>
      </c>
      <c r="M13" s="6">
        <v>342.46</v>
      </c>
      <c r="N13" s="6">
        <v>676.28</v>
      </c>
      <c r="O13" s="6">
        <v>3939.1</v>
      </c>
      <c r="P13" s="6"/>
      <c r="Q13" s="6">
        <v>242.78</v>
      </c>
      <c r="R13" s="6">
        <v>234.17</v>
      </c>
      <c r="S13" s="6">
        <v>24814.349999999995</v>
      </c>
      <c r="U13" s="26" t="s">
        <v>53</v>
      </c>
      <c r="V13" s="35">
        <v>1</v>
      </c>
      <c r="W13" s="35">
        <v>1</v>
      </c>
      <c r="X13" s="35"/>
      <c r="Y13" s="35">
        <v>2</v>
      </c>
      <c r="Z13" s="35">
        <v>1</v>
      </c>
      <c r="AA13" s="35">
        <v>1</v>
      </c>
      <c r="AB13" s="35">
        <v>1</v>
      </c>
      <c r="AC13" s="35">
        <v>1</v>
      </c>
      <c r="AD13" s="35">
        <v>1</v>
      </c>
      <c r="AE13" s="35"/>
      <c r="AF13" s="35">
        <v>2</v>
      </c>
      <c r="AG13" s="35">
        <v>1</v>
      </c>
      <c r="AH13" s="35">
        <v>12</v>
      </c>
    </row>
    <row r="14" spans="1:34">
      <c r="A14" s="25" t="s">
        <v>23</v>
      </c>
      <c r="B14" s="6">
        <v>170206.58000000005</v>
      </c>
      <c r="C14" s="6">
        <v>72950.999999999985</v>
      </c>
      <c r="D14" s="27">
        <v>39.938068350503478</v>
      </c>
      <c r="F14" s="26" t="s">
        <v>10</v>
      </c>
      <c r="G14" s="6">
        <v>1063.08</v>
      </c>
      <c r="H14" s="6">
        <v>6660.93</v>
      </c>
      <c r="I14" s="6"/>
      <c r="J14" s="6"/>
      <c r="K14" s="6">
        <v>1384.86</v>
      </c>
      <c r="L14" s="6">
        <v>4043.4</v>
      </c>
      <c r="M14" s="6"/>
      <c r="N14" s="6"/>
      <c r="O14" s="6"/>
      <c r="P14" s="6">
        <v>2653.62</v>
      </c>
      <c r="Q14" s="6"/>
      <c r="R14" s="6">
        <v>445.9</v>
      </c>
      <c r="S14" s="6">
        <v>16251.789999999999</v>
      </c>
      <c r="U14" s="26" t="s">
        <v>10</v>
      </c>
      <c r="V14" s="35">
        <v>1</v>
      </c>
      <c r="W14" s="35">
        <v>1</v>
      </c>
      <c r="X14" s="35"/>
      <c r="Y14" s="35"/>
      <c r="Z14" s="35">
        <v>1</v>
      </c>
      <c r="AA14" s="35">
        <v>2</v>
      </c>
      <c r="AB14" s="35"/>
      <c r="AC14" s="35"/>
      <c r="AD14" s="35"/>
      <c r="AE14" s="35">
        <v>1</v>
      </c>
      <c r="AF14" s="35"/>
      <c r="AG14" s="35">
        <v>1</v>
      </c>
      <c r="AH14" s="35">
        <v>7</v>
      </c>
    </row>
    <row r="15" spans="1:34">
      <c r="A15" s="26" t="s">
        <v>55</v>
      </c>
      <c r="B15" s="6">
        <v>31919.95</v>
      </c>
      <c r="C15" s="6">
        <v>19792.149999999998</v>
      </c>
      <c r="D15" s="27">
        <v>54.514133642362353</v>
      </c>
      <c r="F15" s="25" t="s">
        <v>23</v>
      </c>
      <c r="G15" s="6">
        <v>4765.26</v>
      </c>
      <c r="H15" s="6">
        <v>4659.25</v>
      </c>
      <c r="I15" s="6">
        <v>8186.47</v>
      </c>
      <c r="J15" s="6">
        <v>14115.269999999999</v>
      </c>
      <c r="K15" s="6">
        <v>2218.5700000000002</v>
      </c>
      <c r="L15" s="6">
        <v>1094.27</v>
      </c>
      <c r="M15" s="6">
        <v>3793.9100000000003</v>
      </c>
      <c r="N15" s="6">
        <v>12057.01</v>
      </c>
      <c r="O15" s="6">
        <v>6341.08</v>
      </c>
      <c r="P15" s="6">
        <v>12150.63</v>
      </c>
      <c r="Q15" s="6">
        <v>2464.64</v>
      </c>
      <c r="R15" s="6">
        <v>1104.6399999999999</v>
      </c>
      <c r="S15" s="6">
        <v>72951</v>
      </c>
      <c r="U15" s="25" t="s">
        <v>23</v>
      </c>
      <c r="V15" s="35">
        <v>5</v>
      </c>
      <c r="W15" s="35">
        <v>2</v>
      </c>
      <c r="X15" s="35">
        <v>4</v>
      </c>
      <c r="Y15" s="35">
        <v>4</v>
      </c>
      <c r="Z15" s="35">
        <v>3</v>
      </c>
      <c r="AA15" s="35">
        <v>2</v>
      </c>
      <c r="AB15" s="35">
        <v>2</v>
      </c>
      <c r="AC15" s="35">
        <v>4</v>
      </c>
      <c r="AD15" s="35">
        <v>1</v>
      </c>
      <c r="AE15" s="35">
        <v>4</v>
      </c>
      <c r="AF15" s="35">
        <v>1</v>
      </c>
      <c r="AG15" s="35">
        <v>2</v>
      </c>
      <c r="AH15" s="35">
        <v>34</v>
      </c>
    </row>
    <row r="16" spans="1:34">
      <c r="A16" s="26" t="s">
        <v>30</v>
      </c>
      <c r="B16" s="6">
        <v>31314.180000000004</v>
      </c>
      <c r="C16" s="6">
        <v>10217.969999999999</v>
      </c>
      <c r="D16" s="27">
        <v>35.989130378788232</v>
      </c>
      <c r="F16" s="26" t="s">
        <v>55</v>
      </c>
      <c r="G16" s="6">
        <v>911.44</v>
      </c>
      <c r="H16" s="6"/>
      <c r="I16" s="6">
        <v>7188.04</v>
      </c>
      <c r="J16" s="6">
        <v>4829.1099999999997</v>
      </c>
      <c r="K16" s="6"/>
      <c r="L16" s="6"/>
      <c r="M16" s="6"/>
      <c r="N16" s="6">
        <v>522.48</v>
      </c>
      <c r="O16" s="6">
        <v>6341.08</v>
      </c>
      <c r="P16" s="6"/>
      <c r="Q16" s="6"/>
      <c r="R16" s="6"/>
      <c r="S16" s="6">
        <v>19792.150000000001</v>
      </c>
      <c r="U16" s="26" t="s">
        <v>55</v>
      </c>
      <c r="V16" s="35">
        <v>1</v>
      </c>
      <c r="W16" s="35"/>
      <c r="X16" s="35">
        <v>1</v>
      </c>
      <c r="Y16" s="35">
        <v>1</v>
      </c>
      <c r="Z16" s="35"/>
      <c r="AA16" s="35"/>
      <c r="AB16" s="35"/>
      <c r="AC16" s="35">
        <v>1</v>
      </c>
      <c r="AD16" s="35">
        <v>1</v>
      </c>
      <c r="AE16" s="35"/>
      <c r="AF16" s="35"/>
      <c r="AG16" s="35"/>
      <c r="AH16" s="35">
        <v>5</v>
      </c>
    </row>
    <row r="17" spans="1:34">
      <c r="A17" s="26" t="s">
        <v>24</v>
      </c>
      <c r="B17" s="6">
        <v>53405.12999999999</v>
      </c>
      <c r="C17" s="6">
        <v>20896.810000000001</v>
      </c>
      <c r="D17" s="27">
        <v>38.051931343721861</v>
      </c>
      <c r="F17" s="26" t="s">
        <v>30</v>
      </c>
      <c r="G17" s="6"/>
      <c r="H17" s="6"/>
      <c r="I17" s="6">
        <v>872.01</v>
      </c>
      <c r="J17" s="6"/>
      <c r="K17" s="6">
        <v>1921.3000000000002</v>
      </c>
      <c r="L17" s="6">
        <v>407.07</v>
      </c>
      <c r="M17" s="6"/>
      <c r="N17" s="6">
        <v>3843.67</v>
      </c>
      <c r="O17" s="6"/>
      <c r="P17" s="6"/>
      <c r="Q17" s="6">
        <v>2464.64</v>
      </c>
      <c r="R17" s="6">
        <v>709.28</v>
      </c>
      <c r="S17" s="6">
        <v>10217.970000000001</v>
      </c>
      <c r="U17" s="26" t="s">
        <v>30</v>
      </c>
      <c r="V17" s="35"/>
      <c r="W17" s="35"/>
      <c r="X17" s="35">
        <v>2</v>
      </c>
      <c r="Y17" s="35"/>
      <c r="Z17" s="35">
        <v>2</v>
      </c>
      <c r="AA17" s="35">
        <v>1</v>
      </c>
      <c r="AB17" s="35"/>
      <c r="AC17" s="35">
        <v>1</v>
      </c>
      <c r="AD17" s="35"/>
      <c r="AE17" s="35"/>
      <c r="AF17" s="35">
        <v>1</v>
      </c>
      <c r="AG17" s="35">
        <v>1</v>
      </c>
      <c r="AH17" s="35">
        <v>8</v>
      </c>
    </row>
    <row r="18" spans="1:34">
      <c r="A18" s="26" t="s">
        <v>44</v>
      </c>
      <c r="B18" s="6">
        <v>53567.32</v>
      </c>
      <c r="C18" s="6">
        <v>22044.069999999996</v>
      </c>
      <c r="D18" s="27">
        <v>37.883936789406036</v>
      </c>
      <c r="F18" s="26" t="s">
        <v>24</v>
      </c>
      <c r="G18" s="6">
        <v>2869.77</v>
      </c>
      <c r="H18" s="6">
        <v>978.72</v>
      </c>
      <c r="I18" s="6"/>
      <c r="J18" s="6">
        <v>7738.24</v>
      </c>
      <c r="K18" s="6">
        <v>297.27</v>
      </c>
      <c r="L18" s="6"/>
      <c r="M18" s="6">
        <v>348.34</v>
      </c>
      <c r="N18" s="6">
        <v>7690.8600000000006</v>
      </c>
      <c r="O18" s="6"/>
      <c r="P18" s="6">
        <v>578.25</v>
      </c>
      <c r="Q18" s="6"/>
      <c r="R18" s="6">
        <v>395.36</v>
      </c>
      <c r="S18" s="6">
        <v>20896.810000000001</v>
      </c>
      <c r="U18" s="26" t="s">
        <v>24</v>
      </c>
      <c r="V18" s="35">
        <v>2</v>
      </c>
      <c r="W18" s="35">
        <v>1</v>
      </c>
      <c r="X18" s="35"/>
      <c r="Y18" s="35">
        <v>2</v>
      </c>
      <c r="Z18" s="35">
        <v>1</v>
      </c>
      <c r="AA18" s="35"/>
      <c r="AB18" s="35">
        <v>1</v>
      </c>
      <c r="AC18" s="35">
        <v>2</v>
      </c>
      <c r="AD18" s="35"/>
      <c r="AE18" s="35">
        <v>1</v>
      </c>
      <c r="AF18" s="35"/>
      <c r="AG18" s="35">
        <v>1</v>
      </c>
      <c r="AH18" s="35">
        <v>11</v>
      </c>
    </row>
    <row r="19" spans="1:34">
      <c r="A19" s="25" t="s">
        <v>34</v>
      </c>
      <c r="B19" s="6">
        <v>189973.73999999996</v>
      </c>
      <c r="C19" s="6">
        <v>92190.099999999977</v>
      </c>
      <c r="D19" s="27">
        <v>47.450083365319657</v>
      </c>
      <c r="F19" s="26" t="s">
        <v>44</v>
      </c>
      <c r="G19" s="6">
        <v>984.05</v>
      </c>
      <c r="H19" s="6">
        <v>3680.53</v>
      </c>
      <c r="I19" s="6">
        <v>126.42</v>
      </c>
      <c r="J19" s="6">
        <v>1547.92</v>
      </c>
      <c r="K19" s="6"/>
      <c r="L19" s="6">
        <v>687.2</v>
      </c>
      <c r="M19" s="6">
        <v>3445.57</v>
      </c>
      <c r="N19" s="6"/>
      <c r="O19" s="6"/>
      <c r="P19" s="6">
        <v>11572.38</v>
      </c>
      <c r="Q19" s="6"/>
      <c r="R19" s="6"/>
      <c r="S19" s="6">
        <v>22044.07</v>
      </c>
      <c r="U19" s="26" t="s">
        <v>44</v>
      </c>
      <c r="V19" s="35">
        <v>2</v>
      </c>
      <c r="W19" s="35">
        <v>1</v>
      </c>
      <c r="X19" s="35">
        <v>1</v>
      </c>
      <c r="Y19" s="35">
        <v>1</v>
      </c>
      <c r="Z19" s="35"/>
      <c r="AA19" s="35">
        <v>1</v>
      </c>
      <c r="AB19" s="35">
        <v>1</v>
      </c>
      <c r="AC19" s="35"/>
      <c r="AD19" s="35"/>
      <c r="AE19" s="35">
        <v>3</v>
      </c>
      <c r="AF19" s="35"/>
      <c r="AG19" s="35"/>
      <c r="AH19" s="35">
        <v>10</v>
      </c>
    </row>
    <row r="20" spans="1:34">
      <c r="A20" s="26" t="s">
        <v>43</v>
      </c>
      <c r="B20" s="6">
        <v>41886.39</v>
      </c>
      <c r="C20" s="6">
        <v>19370.53</v>
      </c>
      <c r="D20" s="27">
        <v>47.075705104112501</v>
      </c>
      <c r="F20" s="25" t="s">
        <v>34</v>
      </c>
      <c r="G20" s="6">
        <v>17479.79</v>
      </c>
      <c r="H20" s="6">
        <v>8017.07</v>
      </c>
      <c r="I20" s="6">
        <v>3870.48</v>
      </c>
      <c r="J20" s="6">
        <v>21639.69</v>
      </c>
      <c r="K20" s="6">
        <v>2865.3199999999997</v>
      </c>
      <c r="L20" s="6">
        <v>399.65999999999997</v>
      </c>
      <c r="M20" s="6">
        <v>6437.5999999999995</v>
      </c>
      <c r="N20" s="6"/>
      <c r="O20" s="6">
        <v>5908.74</v>
      </c>
      <c r="P20" s="6">
        <v>5514.07</v>
      </c>
      <c r="Q20" s="6">
        <v>17853.75</v>
      </c>
      <c r="R20" s="6">
        <v>2203.9300000000003</v>
      </c>
      <c r="S20" s="6">
        <v>92190.099999999991</v>
      </c>
      <c r="U20" s="25" t="s">
        <v>34</v>
      </c>
      <c r="V20" s="35">
        <v>4</v>
      </c>
      <c r="W20" s="35">
        <v>2</v>
      </c>
      <c r="X20" s="35">
        <v>2</v>
      </c>
      <c r="Y20" s="35">
        <v>6</v>
      </c>
      <c r="Z20" s="35">
        <v>5</v>
      </c>
      <c r="AA20" s="35">
        <v>2</v>
      </c>
      <c r="AB20" s="35">
        <v>3</v>
      </c>
      <c r="AC20" s="35"/>
      <c r="AD20" s="35">
        <v>2</v>
      </c>
      <c r="AE20" s="35">
        <v>3</v>
      </c>
      <c r="AF20" s="35">
        <v>7</v>
      </c>
      <c r="AG20" s="35">
        <v>2</v>
      </c>
      <c r="AH20" s="35">
        <v>38</v>
      </c>
    </row>
    <row r="21" spans="1:34">
      <c r="A21" s="26" t="s">
        <v>35</v>
      </c>
      <c r="B21" s="6">
        <v>85918.450000000012</v>
      </c>
      <c r="C21" s="6">
        <v>44527.509999999987</v>
      </c>
      <c r="D21" s="27">
        <v>48.291707517156169</v>
      </c>
      <c r="F21" s="26" t="s">
        <v>43</v>
      </c>
      <c r="G21" s="6"/>
      <c r="H21" s="6"/>
      <c r="I21" s="6"/>
      <c r="J21" s="6">
        <v>9572.1299999999992</v>
      </c>
      <c r="K21" s="6">
        <v>1004.27</v>
      </c>
      <c r="L21" s="6">
        <v>212.01</v>
      </c>
      <c r="M21" s="6"/>
      <c r="N21" s="6"/>
      <c r="O21" s="6"/>
      <c r="P21" s="6"/>
      <c r="Q21" s="6">
        <v>8582.119999999999</v>
      </c>
      <c r="R21" s="6"/>
      <c r="S21" s="6">
        <v>19370.53</v>
      </c>
      <c r="U21" s="26" t="s">
        <v>43</v>
      </c>
      <c r="V21" s="35"/>
      <c r="W21" s="35"/>
      <c r="X21" s="35"/>
      <c r="Y21" s="35">
        <v>2</v>
      </c>
      <c r="Z21" s="35">
        <v>1</v>
      </c>
      <c r="AA21" s="35">
        <v>1</v>
      </c>
      <c r="AB21" s="35"/>
      <c r="AC21" s="35"/>
      <c r="AD21" s="35"/>
      <c r="AE21" s="35"/>
      <c r="AF21" s="35">
        <v>4</v>
      </c>
      <c r="AG21" s="35"/>
      <c r="AH21" s="35">
        <v>8</v>
      </c>
    </row>
    <row r="22" spans="1:34">
      <c r="A22" s="26" t="s">
        <v>49</v>
      </c>
      <c r="B22" s="6">
        <v>45890.689999999995</v>
      </c>
      <c r="C22" s="6">
        <v>19735.829999999998</v>
      </c>
      <c r="D22" s="27">
        <v>45.556376332006259</v>
      </c>
      <c r="F22" s="26" t="s">
        <v>35</v>
      </c>
      <c r="G22" s="6">
        <v>8752.91</v>
      </c>
      <c r="H22" s="6">
        <v>3978.21</v>
      </c>
      <c r="I22" s="6"/>
      <c r="J22" s="6">
        <v>11785.82</v>
      </c>
      <c r="K22" s="6">
        <v>932.32999999999993</v>
      </c>
      <c r="L22" s="6"/>
      <c r="M22" s="6">
        <v>2917.09</v>
      </c>
      <c r="N22" s="6"/>
      <c r="O22" s="6">
        <v>5908.74</v>
      </c>
      <c r="P22" s="6"/>
      <c r="Q22" s="6">
        <v>9271.6299999999992</v>
      </c>
      <c r="R22" s="6">
        <v>980.78</v>
      </c>
      <c r="S22" s="6">
        <v>44527.509999999995</v>
      </c>
      <c r="U22" s="26" t="s">
        <v>35</v>
      </c>
      <c r="V22" s="35">
        <v>2</v>
      </c>
      <c r="W22" s="35">
        <v>1</v>
      </c>
      <c r="X22" s="35"/>
      <c r="Y22" s="35">
        <v>3</v>
      </c>
      <c r="Z22" s="35">
        <v>2</v>
      </c>
      <c r="AA22" s="35"/>
      <c r="AB22" s="35">
        <v>1</v>
      </c>
      <c r="AC22" s="35"/>
      <c r="AD22" s="35">
        <v>2</v>
      </c>
      <c r="AE22" s="35"/>
      <c r="AF22" s="35">
        <v>3</v>
      </c>
      <c r="AG22" s="35">
        <v>1</v>
      </c>
      <c r="AH22" s="35">
        <v>15</v>
      </c>
    </row>
    <row r="23" spans="1:34">
      <c r="A23" s="26" t="s">
        <v>56</v>
      </c>
      <c r="B23" s="6">
        <v>16278.21</v>
      </c>
      <c r="C23" s="6">
        <v>8556.23</v>
      </c>
      <c r="D23" s="27">
        <v>49.311630194368306</v>
      </c>
      <c r="F23" s="26" t="s">
        <v>49</v>
      </c>
      <c r="G23" s="6">
        <v>4233.07</v>
      </c>
      <c r="H23" s="6">
        <v>4038.86</v>
      </c>
      <c r="I23" s="6">
        <v>1954.98</v>
      </c>
      <c r="J23" s="6"/>
      <c r="K23" s="6">
        <v>928.72</v>
      </c>
      <c r="L23" s="6"/>
      <c r="M23" s="6">
        <v>1842.98</v>
      </c>
      <c r="N23" s="6"/>
      <c r="O23" s="6"/>
      <c r="P23" s="6">
        <v>5514.07</v>
      </c>
      <c r="Q23" s="6"/>
      <c r="R23" s="6">
        <v>1223.1500000000001</v>
      </c>
      <c r="S23" s="6">
        <v>19735.830000000002</v>
      </c>
      <c r="U23" s="26" t="s">
        <v>49</v>
      </c>
      <c r="V23" s="35">
        <v>1</v>
      </c>
      <c r="W23" s="35">
        <v>1</v>
      </c>
      <c r="X23" s="35">
        <v>1</v>
      </c>
      <c r="Y23" s="35"/>
      <c r="Z23" s="35">
        <v>2</v>
      </c>
      <c r="AA23" s="35"/>
      <c r="AB23" s="35">
        <v>1</v>
      </c>
      <c r="AC23" s="35"/>
      <c r="AD23" s="35"/>
      <c r="AE23" s="35">
        <v>3</v>
      </c>
      <c r="AF23" s="35"/>
      <c r="AG23" s="35">
        <v>1</v>
      </c>
      <c r="AH23" s="35">
        <v>10</v>
      </c>
    </row>
    <row r="24" spans="1:34">
      <c r="A24" s="25" t="s">
        <v>19</v>
      </c>
      <c r="B24" s="6">
        <v>237437.73</v>
      </c>
      <c r="C24" s="6">
        <v>106808.64</v>
      </c>
      <c r="D24" s="27">
        <v>45.870479731521165</v>
      </c>
      <c r="F24" s="26" t="s">
        <v>56</v>
      </c>
      <c r="G24" s="6">
        <v>4493.8100000000004</v>
      </c>
      <c r="H24" s="6"/>
      <c r="I24" s="6">
        <v>1915.5</v>
      </c>
      <c r="J24" s="6">
        <v>281.74</v>
      </c>
      <c r="K24" s="6"/>
      <c r="L24" s="6">
        <v>187.65</v>
      </c>
      <c r="M24" s="6">
        <v>1677.53</v>
      </c>
      <c r="N24" s="6"/>
      <c r="O24" s="6"/>
      <c r="P24" s="6"/>
      <c r="Q24" s="6"/>
      <c r="R24" s="6"/>
      <c r="S24" s="6">
        <v>8556.23</v>
      </c>
      <c r="U24" s="26" t="s">
        <v>56</v>
      </c>
      <c r="V24" s="35">
        <v>1</v>
      </c>
      <c r="W24" s="35"/>
      <c r="X24" s="35">
        <v>1</v>
      </c>
      <c r="Y24" s="35">
        <v>1</v>
      </c>
      <c r="Z24" s="35"/>
      <c r="AA24" s="35">
        <v>1</v>
      </c>
      <c r="AB24" s="35">
        <v>1</v>
      </c>
      <c r="AC24" s="35"/>
      <c r="AD24" s="35"/>
      <c r="AE24" s="35"/>
      <c r="AF24" s="35"/>
      <c r="AG24" s="35"/>
      <c r="AH24" s="35">
        <v>5</v>
      </c>
    </row>
    <row r="25" spans="1:34">
      <c r="A25" s="26" t="s">
        <v>32</v>
      </c>
      <c r="B25" s="6">
        <v>80571.700000000012</v>
      </c>
      <c r="C25" s="6">
        <v>27698.079999999998</v>
      </c>
      <c r="D25" s="27">
        <v>37.056075703177683</v>
      </c>
      <c r="F25" s="25" t="s">
        <v>19</v>
      </c>
      <c r="G25" s="6">
        <v>5541.42</v>
      </c>
      <c r="H25" s="6">
        <v>9364.2200000000012</v>
      </c>
      <c r="I25" s="6">
        <v>6146.5499999999993</v>
      </c>
      <c r="J25" s="6">
        <v>2929.0800000000004</v>
      </c>
      <c r="K25" s="6">
        <v>8827.26</v>
      </c>
      <c r="L25" s="6">
        <v>19659.21</v>
      </c>
      <c r="M25" s="6">
        <v>18857.939999999999</v>
      </c>
      <c r="N25" s="6">
        <v>7373.07</v>
      </c>
      <c r="O25" s="6">
        <v>15493.35</v>
      </c>
      <c r="P25" s="6">
        <v>8193.4399999999987</v>
      </c>
      <c r="Q25" s="6">
        <v>4423.1000000000004</v>
      </c>
      <c r="R25" s="6"/>
      <c r="S25" s="6">
        <v>106808.64</v>
      </c>
      <c r="U25" s="25" t="s">
        <v>19</v>
      </c>
      <c r="V25" s="35">
        <v>5</v>
      </c>
      <c r="W25" s="35">
        <v>4</v>
      </c>
      <c r="X25" s="35">
        <v>4</v>
      </c>
      <c r="Y25" s="35">
        <v>4</v>
      </c>
      <c r="Z25" s="35">
        <v>3</v>
      </c>
      <c r="AA25" s="35">
        <v>7</v>
      </c>
      <c r="AB25" s="35">
        <v>6</v>
      </c>
      <c r="AC25" s="35">
        <v>4</v>
      </c>
      <c r="AD25" s="35">
        <v>6</v>
      </c>
      <c r="AE25" s="35">
        <v>3</v>
      </c>
      <c r="AF25" s="35">
        <v>1</v>
      </c>
      <c r="AG25" s="35"/>
      <c r="AH25" s="35">
        <v>47</v>
      </c>
    </row>
    <row r="26" spans="1:34">
      <c r="A26" s="26" t="s">
        <v>41</v>
      </c>
      <c r="B26" s="6">
        <v>76670.650000000009</v>
      </c>
      <c r="C26" s="6">
        <v>37401.479999999996</v>
      </c>
      <c r="D26" s="27">
        <v>48.160691621438183</v>
      </c>
      <c r="F26" s="26" t="s">
        <v>32</v>
      </c>
      <c r="G26" s="6">
        <v>845.42</v>
      </c>
      <c r="H26" s="6">
        <v>3875.08</v>
      </c>
      <c r="I26" s="6">
        <v>3407.98</v>
      </c>
      <c r="J26" s="6">
        <v>697.25</v>
      </c>
      <c r="K26" s="6"/>
      <c r="L26" s="6">
        <v>2543.33</v>
      </c>
      <c r="M26" s="6">
        <v>10404.1</v>
      </c>
      <c r="N26" s="6">
        <v>48.49</v>
      </c>
      <c r="O26" s="6">
        <v>4311.3100000000004</v>
      </c>
      <c r="P26" s="6">
        <v>1565.12</v>
      </c>
      <c r="Q26" s="6"/>
      <c r="R26" s="6"/>
      <c r="S26" s="6">
        <v>27698.080000000002</v>
      </c>
      <c r="U26" s="26" t="s">
        <v>32</v>
      </c>
      <c r="V26" s="35">
        <v>1</v>
      </c>
      <c r="W26" s="35">
        <v>2</v>
      </c>
      <c r="X26" s="35">
        <v>2</v>
      </c>
      <c r="Y26" s="35">
        <v>1</v>
      </c>
      <c r="Z26" s="35"/>
      <c r="AA26" s="35">
        <v>2</v>
      </c>
      <c r="AB26" s="35">
        <v>2</v>
      </c>
      <c r="AC26" s="35">
        <v>1</v>
      </c>
      <c r="AD26" s="35">
        <v>3</v>
      </c>
      <c r="AE26" s="35">
        <v>1</v>
      </c>
      <c r="AF26" s="35"/>
      <c r="AG26" s="35"/>
      <c r="AH26" s="35">
        <v>15</v>
      </c>
    </row>
    <row r="27" spans="1:34">
      <c r="A27" s="26" t="s">
        <v>52</v>
      </c>
      <c r="B27" s="6">
        <v>34727.339999999997</v>
      </c>
      <c r="C27" s="6">
        <v>16300.189999999999</v>
      </c>
      <c r="D27" s="27">
        <v>43.482540738944245</v>
      </c>
      <c r="F27" s="26" t="s">
        <v>41</v>
      </c>
      <c r="G27" s="6">
        <v>4696</v>
      </c>
      <c r="H27" s="6"/>
      <c r="I27" s="6">
        <v>2738.5699999999997</v>
      </c>
      <c r="J27" s="6">
        <v>20.11</v>
      </c>
      <c r="K27" s="6">
        <v>4831.21</v>
      </c>
      <c r="L27" s="6">
        <v>4310.71</v>
      </c>
      <c r="M27" s="6">
        <v>7505.42</v>
      </c>
      <c r="N27" s="6">
        <v>1268.3900000000001</v>
      </c>
      <c r="O27" s="6">
        <v>7098.88</v>
      </c>
      <c r="P27" s="6">
        <v>509.09</v>
      </c>
      <c r="Q27" s="6">
        <v>4423.1000000000004</v>
      </c>
      <c r="R27" s="6"/>
      <c r="S27" s="6">
        <v>37401.479999999996</v>
      </c>
      <c r="U27" s="26" t="s">
        <v>41</v>
      </c>
      <c r="V27" s="35">
        <v>4</v>
      </c>
      <c r="W27" s="35"/>
      <c r="X27" s="35">
        <v>2</v>
      </c>
      <c r="Y27" s="35">
        <v>1</v>
      </c>
      <c r="Z27" s="35">
        <v>2</v>
      </c>
      <c r="AA27" s="35">
        <v>1</v>
      </c>
      <c r="AB27" s="35">
        <v>3</v>
      </c>
      <c r="AC27" s="35">
        <v>1</v>
      </c>
      <c r="AD27" s="35">
        <v>2</v>
      </c>
      <c r="AE27" s="35">
        <v>1</v>
      </c>
      <c r="AF27" s="35">
        <v>1</v>
      </c>
      <c r="AG27" s="35"/>
      <c r="AH27" s="35">
        <v>18</v>
      </c>
    </row>
    <row r="28" spans="1:34">
      <c r="A28" s="26" t="s">
        <v>20</v>
      </c>
      <c r="B28" s="6">
        <v>45468.039999999994</v>
      </c>
      <c r="C28" s="6">
        <v>25408.89</v>
      </c>
      <c r="D28" s="27">
        <v>59.035464776784593</v>
      </c>
      <c r="F28" s="26" t="s">
        <v>52</v>
      </c>
      <c r="G28" s="6"/>
      <c r="H28" s="6">
        <v>1146.1199999999999</v>
      </c>
      <c r="I28" s="6"/>
      <c r="J28" s="6"/>
      <c r="K28" s="6"/>
      <c r="L28" s="6">
        <v>4044.5699999999997</v>
      </c>
      <c r="M28" s="6"/>
      <c r="N28" s="6">
        <v>907.11</v>
      </c>
      <c r="O28" s="6">
        <v>4083.16</v>
      </c>
      <c r="P28" s="6">
        <v>6119.23</v>
      </c>
      <c r="Q28" s="6"/>
      <c r="R28" s="6"/>
      <c r="S28" s="6">
        <v>16300.189999999999</v>
      </c>
      <c r="U28" s="26" t="s">
        <v>52</v>
      </c>
      <c r="V28" s="35"/>
      <c r="W28" s="35">
        <v>1</v>
      </c>
      <c r="X28" s="35"/>
      <c r="Y28" s="35"/>
      <c r="Z28" s="35"/>
      <c r="AA28" s="35">
        <v>2</v>
      </c>
      <c r="AB28" s="35"/>
      <c r="AC28" s="35">
        <v>1</v>
      </c>
      <c r="AD28" s="35">
        <v>1</v>
      </c>
      <c r="AE28" s="35">
        <v>1</v>
      </c>
      <c r="AF28" s="35"/>
      <c r="AG28" s="35"/>
      <c r="AH28" s="35">
        <v>6</v>
      </c>
    </row>
    <row r="29" spans="1:34">
      <c r="A29" s="25" t="s">
        <v>67</v>
      </c>
      <c r="B29" s="6">
        <v>981140.20999999985</v>
      </c>
      <c r="C29" s="6">
        <v>448020.63999999984</v>
      </c>
      <c r="D29" s="27">
        <v>44.917459582633875</v>
      </c>
      <c r="F29" s="26" t="s">
        <v>20</v>
      </c>
      <c r="G29" s="6"/>
      <c r="H29" s="6">
        <v>4343.0200000000004</v>
      </c>
      <c r="I29" s="6"/>
      <c r="J29" s="6">
        <v>2211.7200000000003</v>
      </c>
      <c r="K29" s="6">
        <v>3996.05</v>
      </c>
      <c r="L29" s="6">
        <v>8760.6</v>
      </c>
      <c r="M29" s="6">
        <v>948.42</v>
      </c>
      <c r="N29" s="6">
        <v>5149.08</v>
      </c>
      <c r="O29" s="6"/>
      <c r="P29" s="6"/>
      <c r="Q29" s="6"/>
      <c r="R29" s="6"/>
      <c r="S29" s="6">
        <v>25408.89</v>
      </c>
      <c r="U29" s="26" t="s">
        <v>20</v>
      </c>
      <c r="V29" s="35"/>
      <c r="W29" s="35">
        <v>1</v>
      </c>
      <c r="X29" s="35"/>
      <c r="Y29" s="35">
        <v>2</v>
      </c>
      <c r="Z29" s="35">
        <v>1</v>
      </c>
      <c r="AA29" s="35">
        <v>2</v>
      </c>
      <c r="AB29" s="35">
        <v>1</v>
      </c>
      <c r="AC29" s="35">
        <v>1</v>
      </c>
      <c r="AD29" s="35"/>
      <c r="AE29" s="35"/>
      <c r="AF29" s="35"/>
      <c r="AG29" s="35"/>
      <c r="AH29" s="35">
        <v>8</v>
      </c>
    </row>
    <row r="30" spans="1:34">
      <c r="F30" s="25" t="s">
        <v>67</v>
      </c>
      <c r="G30" s="6">
        <v>46639.989999999991</v>
      </c>
      <c r="H30" s="6">
        <v>40084.160000000003</v>
      </c>
      <c r="I30" s="6">
        <v>28621.839999999997</v>
      </c>
      <c r="J30" s="6">
        <v>57158.499999999993</v>
      </c>
      <c r="K30" s="6">
        <v>24074.78</v>
      </c>
      <c r="L30" s="6">
        <v>44431.75</v>
      </c>
      <c r="M30" s="6">
        <v>45810.009999999995</v>
      </c>
      <c r="N30" s="6">
        <v>33871.340000000004</v>
      </c>
      <c r="O30" s="6">
        <v>32213.510000000002</v>
      </c>
      <c r="P30" s="6">
        <v>38316.69</v>
      </c>
      <c r="Q30" s="6">
        <v>35866.939999999995</v>
      </c>
      <c r="R30" s="6">
        <v>20931.129999999997</v>
      </c>
      <c r="S30" s="6">
        <v>448020.64000000007</v>
      </c>
      <c r="U30" s="25" t="s">
        <v>67</v>
      </c>
      <c r="V30" s="35">
        <v>22</v>
      </c>
      <c r="W30" s="35">
        <v>17</v>
      </c>
      <c r="X30" s="35">
        <v>15</v>
      </c>
      <c r="Y30" s="35">
        <v>22</v>
      </c>
      <c r="Z30" s="35">
        <v>16</v>
      </c>
      <c r="AA30" s="35">
        <v>21</v>
      </c>
      <c r="AB30" s="35">
        <v>19</v>
      </c>
      <c r="AC30" s="35">
        <v>14</v>
      </c>
      <c r="AD30" s="35">
        <v>11</v>
      </c>
      <c r="AE30" s="35">
        <v>17</v>
      </c>
      <c r="AF30" s="35">
        <v>14</v>
      </c>
      <c r="AG30" s="35">
        <v>12</v>
      </c>
      <c r="AH30" s="35">
        <v>200</v>
      </c>
    </row>
    <row r="34" spans="6:28">
      <c r="F34" s="24" t="s">
        <v>68</v>
      </c>
      <c r="G34" s="24" t="s">
        <v>0</v>
      </c>
    </row>
    <row r="35" spans="6:28">
      <c r="F35" s="24" t="s">
        <v>72</v>
      </c>
      <c r="G35" t="s">
        <v>36</v>
      </c>
      <c r="H35" t="s">
        <v>25</v>
      </c>
      <c r="I35" t="s">
        <v>28</v>
      </c>
      <c r="J35" t="s">
        <v>39</v>
      </c>
      <c r="K35" t="s">
        <v>7</v>
      </c>
      <c r="L35" t="s">
        <v>17</v>
      </c>
      <c r="M35" t="s">
        <v>37</v>
      </c>
      <c r="N35" t="s">
        <v>40</v>
      </c>
      <c r="O35" t="s">
        <v>54</v>
      </c>
      <c r="P35" t="s">
        <v>51</v>
      </c>
      <c r="Q35" t="s">
        <v>12</v>
      </c>
      <c r="R35" t="s">
        <v>22</v>
      </c>
      <c r="S35" t="s">
        <v>67</v>
      </c>
      <c r="U35" s="24" t="s">
        <v>71</v>
      </c>
      <c r="V35" s="24" t="s">
        <v>4</v>
      </c>
    </row>
    <row r="36" spans="6:28">
      <c r="F36" s="25" t="s">
        <v>14</v>
      </c>
      <c r="G36" s="6">
        <v>10095.74</v>
      </c>
      <c r="H36" s="6">
        <v>19300.080000000002</v>
      </c>
      <c r="I36" s="6">
        <v>15569.439999999999</v>
      </c>
      <c r="J36" s="6">
        <v>14591.380000000001</v>
      </c>
      <c r="K36" s="6">
        <v>4452.4400000000005</v>
      </c>
      <c r="L36" s="6">
        <v>19241.759999999998</v>
      </c>
      <c r="M36" s="6">
        <v>31708.04</v>
      </c>
      <c r="N36" s="6">
        <v>21207.23</v>
      </c>
      <c r="O36" s="6"/>
      <c r="P36" s="6">
        <v>13546.55</v>
      </c>
      <c r="Q36" s="6">
        <v>13794.66</v>
      </c>
      <c r="R36" s="6">
        <v>24724.09</v>
      </c>
      <c r="S36" s="6">
        <v>188231.41</v>
      </c>
      <c r="U36" s="24" t="s">
        <v>0</v>
      </c>
      <c r="V36" t="s">
        <v>11</v>
      </c>
      <c r="W36" t="s">
        <v>27</v>
      </c>
      <c r="X36" t="s">
        <v>33</v>
      </c>
      <c r="Y36" t="s">
        <v>21</v>
      </c>
      <c r="Z36" t="s">
        <v>47</v>
      </c>
      <c r="AA36" t="s">
        <v>16</v>
      </c>
      <c r="AB36" t="s">
        <v>67</v>
      </c>
    </row>
    <row r="37" spans="6:28">
      <c r="F37" s="26" t="s">
        <v>26</v>
      </c>
      <c r="G37" s="6"/>
      <c r="H37" s="6">
        <v>8721.92</v>
      </c>
      <c r="I37" s="6">
        <v>1732.96</v>
      </c>
      <c r="J37" s="6">
        <v>7043.56</v>
      </c>
      <c r="K37" s="6"/>
      <c r="L37" s="6">
        <v>7708.19</v>
      </c>
      <c r="M37" s="6"/>
      <c r="N37" s="6">
        <v>5732.96</v>
      </c>
      <c r="O37" s="6"/>
      <c r="P37" s="6">
        <v>4170.0499999999993</v>
      </c>
      <c r="Q37" s="6"/>
      <c r="R37" s="6">
        <v>8658.08</v>
      </c>
      <c r="S37" s="6">
        <v>43767.72</v>
      </c>
      <c r="U37" s="25" t="s">
        <v>14</v>
      </c>
      <c r="V37" s="35">
        <v>13</v>
      </c>
      <c r="W37" s="35">
        <v>5</v>
      </c>
      <c r="X37" s="35">
        <v>4</v>
      </c>
      <c r="Y37" s="35">
        <v>9</v>
      </c>
      <c r="Z37" s="35">
        <v>2</v>
      </c>
      <c r="AA37" s="35">
        <v>7</v>
      </c>
      <c r="AB37" s="35">
        <v>40</v>
      </c>
    </row>
    <row r="38" spans="6:28">
      <c r="F38" s="26" t="s">
        <v>15</v>
      </c>
      <c r="G38" s="6">
        <v>352.89</v>
      </c>
      <c r="H38" s="6"/>
      <c r="I38" s="6">
        <v>4869.2299999999996</v>
      </c>
      <c r="J38" s="6">
        <v>7547.82</v>
      </c>
      <c r="K38" s="6">
        <v>1714.15</v>
      </c>
      <c r="L38" s="6">
        <v>10281.790000000001</v>
      </c>
      <c r="M38" s="6">
        <v>9598.06</v>
      </c>
      <c r="N38" s="6">
        <v>6755.38</v>
      </c>
      <c r="O38" s="6"/>
      <c r="P38" s="6">
        <v>9376.5</v>
      </c>
      <c r="Q38" s="6">
        <v>13794.66</v>
      </c>
      <c r="R38" s="6">
        <v>16066.01</v>
      </c>
      <c r="S38" s="6">
        <v>80356.489999999991</v>
      </c>
      <c r="U38" s="26" t="s">
        <v>26</v>
      </c>
      <c r="V38" s="35">
        <v>2</v>
      </c>
      <c r="W38" s="35">
        <v>1</v>
      </c>
      <c r="X38" s="35">
        <v>1</v>
      </c>
      <c r="Y38" s="35">
        <v>3</v>
      </c>
      <c r="Z38" s="35">
        <v>1</v>
      </c>
      <c r="AA38" s="35">
        <v>2</v>
      </c>
      <c r="AB38" s="35">
        <v>10</v>
      </c>
    </row>
    <row r="39" spans="6:28">
      <c r="F39" s="26" t="s">
        <v>45</v>
      </c>
      <c r="G39" s="6">
        <v>9742.85</v>
      </c>
      <c r="H39" s="6">
        <v>6096.46</v>
      </c>
      <c r="I39" s="6">
        <v>8967.25</v>
      </c>
      <c r="J39" s="6"/>
      <c r="K39" s="6">
        <v>610.66999999999996</v>
      </c>
      <c r="L39" s="6"/>
      <c r="M39" s="6">
        <v>7735.05</v>
      </c>
      <c r="N39" s="6">
        <v>8718.89</v>
      </c>
      <c r="O39" s="6"/>
      <c r="P39" s="6"/>
      <c r="Q39" s="6"/>
      <c r="R39" s="6"/>
      <c r="S39" s="6">
        <v>41871.17</v>
      </c>
      <c r="U39" s="26" t="s">
        <v>15</v>
      </c>
      <c r="V39" s="35">
        <v>4</v>
      </c>
      <c r="W39" s="35">
        <v>3</v>
      </c>
      <c r="X39" s="35"/>
      <c r="Y39" s="35">
        <v>3</v>
      </c>
      <c r="Z39" s="35">
        <v>1</v>
      </c>
      <c r="AA39" s="35">
        <v>3</v>
      </c>
      <c r="AB39" s="35">
        <v>14</v>
      </c>
    </row>
    <row r="40" spans="6:28">
      <c r="F40" s="26" t="s">
        <v>42</v>
      </c>
      <c r="G40" s="6"/>
      <c r="H40" s="6">
        <v>4481.7</v>
      </c>
      <c r="I40" s="6"/>
      <c r="J40" s="6"/>
      <c r="K40" s="6">
        <v>2127.62</v>
      </c>
      <c r="L40" s="6">
        <v>1251.78</v>
      </c>
      <c r="M40" s="6">
        <v>14374.93</v>
      </c>
      <c r="N40" s="6"/>
      <c r="O40" s="6"/>
      <c r="P40" s="6"/>
      <c r="Q40" s="6"/>
      <c r="R40" s="6"/>
      <c r="S40" s="6">
        <v>22236.03</v>
      </c>
      <c r="U40" s="26" t="s">
        <v>45</v>
      </c>
      <c r="V40" s="35">
        <v>3</v>
      </c>
      <c r="W40" s="35">
        <v>1</v>
      </c>
      <c r="X40" s="35">
        <v>3</v>
      </c>
      <c r="Y40" s="35">
        <v>2</v>
      </c>
      <c r="Z40" s="35"/>
      <c r="AA40" s="35"/>
      <c r="AB40" s="35">
        <v>9</v>
      </c>
    </row>
    <row r="41" spans="6:28">
      <c r="F41" s="25" t="s">
        <v>9</v>
      </c>
      <c r="G41" s="6">
        <v>18435.86</v>
      </c>
      <c r="H41" s="6">
        <v>30881.43</v>
      </c>
      <c r="I41" s="6">
        <v>8607.89</v>
      </c>
      <c r="J41" s="6">
        <v>25188.79</v>
      </c>
      <c r="K41" s="6">
        <v>12112.31</v>
      </c>
      <c r="L41" s="6">
        <v>37605.9</v>
      </c>
      <c r="M41" s="6">
        <v>9026.64</v>
      </c>
      <c r="N41" s="6">
        <v>5884.83</v>
      </c>
      <c r="O41" s="6">
        <v>15281.58</v>
      </c>
      <c r="P41" s="6">
        <v>18092.68</v>
      </c>
      <c r="Q41" s="6">
        <v>5926.9699999999993</v>
      </c>
      <c r="R41" s="6">
        <v>8245.869999999999</v>
      </c>
      <c r="S41" s="6">
        <v>195290.75</v>
      </c>
      <c r="U41" s="26" t="s">
        <v>42</v>
      </c>
      <c r="V41" s="35">
        <v>4</v>
      </c>
      <c r="W41" s="35"/>
      <c r="X41" s="35"/>
      <c r="Y41" s="35">
        <v>1</v>
      </c>
      <c r="Z41" s="35"/>
      <c r="AA41" s="35">
        <v>2</v>
      </c>
      <c r="AB41" s="35">
        <v>7</v>
      </c>
    </row>
    <row r="42" spans="6:28">
      <c r="F42" s="26" t="s">
        <v>50</v>
      </c>
      <c r="G42" s="6">
        <v>11546.59</v>
      </c>
      <c r="H42" s="6">
        <v>9072.49</v>
      </c>
      <c r="I42" s="6"/>
      <c r="J42" s="6">
        <v>4141.1900000000005</v>
      </c>
      <c r="K42" s="6"/>
      <c r="L42" s="6">
        <v>7510.31</v>
      </c>
      <c r="M42" s="6">
        <v>1622.03</v>
      </c>
      <c r="N42" s="6">
        <v>2235.4</v>
      </c>
      <c r="O42" s="6">
        <v>5441.76</v>
      </c>
      <c r="P42" s="6">
        <v>2233.15</v>
      </c>
      <c r="Q42" s="6"/>
      <c r="R42" s="6"/>
      <c r="S42" s="6">
        <v>43802.920000000013</v>
      </c>
      <c r="U42" s="25" t="s">
        <v>9</v>
      </c>
      <c r="V42" s="35">
        <v>13</v>
      </c>
      <c r="W42" s="35">
        <v>8</v>
      </c>
      <c r="X42" s="35">
        <v>6</v>
      </c>
      <c r="Y42" s="35">
        <v>7</v>
      </c>
      <c r="Z42" s="35">
        <v>5</v>
      </c>
      <c r="AA42" s="35">
        <v>2</v>
      </c>
      <c r="AB42" s="35">
        <v>41</v>
      </c>
    </row>
    <row r="43" spans="6:28">
      <c r="F43" s="26" t="s">
        <v>46</v>
      </c>
      <c r="G43" s="6"/>
      <c r="H43" s="6">
        <v>3527.69</v>
      </c>
      <c r="I43" s="6">
        <v>8607.89</v>
      </c>
      <c r="J43" s="6">
        <v>7934.52</v>
      </c>
      <c r="K43" s="6"/>
      <c r="L43" s="6">
        <v>14653.96</v>
      </c>
      <c r="M43" s="6">
        <v>6667.62</v>
      </c>
      <c r="N43" s="6">
        <v>1649.91</v>
      </c>
      <c r="O43" s="6"/>
      <c r="P43" s="6">
        <v>11137.3</v>
      </c>
      <c r="Q43" s="6">
        <v>4789.41</v>
      </c>
      <c r="R43" s="6"/>
      <c r="S43" s="6">
        <v>58968.3</v>
      </c>
      <c r="U43" s="26" t="s">
        <v>50</v>
      </c>
      <c r="V43" s="35">
        <v>4</v>
      </c>
      <c r="W43" s="35">
        <v>1</v>
      </c>
      <c r="X43" s="35">
        <v>2</v>
      </c>
      <c r="Y43" s="35">
        <v>2</v>
      </c>
      <c r="Z43" s="35">
        <v>1</v>
      </c>
      <c r="AA43" s="35"/>
      <c r="AB43" s="35">
        <v>10</v>
      </c>
    </row>
    <row r="44" spans="6:28">
      <c r="F44" s="26" t="s">
        <v>53</v>
      </c>
      <c r="G44" s="6">
        <v>3788.17</v>
      </c>
      <c r="H44" s="6">
        <v>8306.7000000000007</v>
      </c>
      <c r="I44" s="6"/>
      <c r="J44" s="6">
        <v>13113.08</v>
      </c>
      <c r="K44" s="6">
        <v>9990.16</v>
      </c>
      <c r="L44" s="6">
        <v>6458.2</v>
      </c>
      <c r="M44" s="6">
        <v>736.99</v>
      </c>
      <c r="N44" s="6">
        <v>1999.52</v>
      </c>
      <c r="O44" s="6">
        <v>9839.82</v>
      </c>
      <c r="P44" s="6"/>
      <c r="Q44" s="6">
        <v>1137.56</v>
      </c>
      <c r="R44" s="6">
        <v>2353.96</v>
      </c>
      <c r="S44" s="6">
        <v>57724.159999999989</v>
      </c>
      <c r="U44" s="26" t="s">
        <v>46</v>
      </c>
      <c r="V44" s="35">
        <v>4</v>
      </c>
      <c r="W44" s="35">
        <v>1</v>
      </c>
      <c r="X44" s="35">
        <v>2</v>
      </c>
      <c r="Y44" s="35">
        <v>2</v>
      </c>
      <c r="Z44" s="35">
        <v>2</v>
      </c>
      <c r="AA44" s="35">
        <v>1</v>
      </c>
      <c r="AB44" s="35">
        <v>12</v>
      </c>
    </row>
    <row r="45" spans="6:28">
      <c r="F45" s="26" t="s">
        <v>10</v>
      </c>
      <c r="G45" s="6">
        <v>3101.1</v>
      </c>
      <c r="H45" s="6">
        <v>9974.5499999999993</v>
      </c>
      <c r="I45" s="6"/>
      <c r="J45" s="6"/>
      <c r="K45" s="6">
        <v>2122.15</v>
      </c>
      <c r="L45" s="6">
        <v>8983.43</v>
      </c>
      <c r="M45" s="6"/>
      <c r="N45" s="6"/>
      <c r="O45" s="6"/>
      <c r="P45" s="6">
        <v>4722.2299999999996</v>
      </c>
      <c r="Q45" s="6"/>
      <c r="R45" s="6">
        <v>5891.91</v>
      </c>
      <c r="S45" s="6">
        <v>34795.369999999995</v>
      </c>
      <c r="U45" s="26" t="s">
        <v>53</v>
      </c>
      <c r="V45" s="35">
        <v>2</v>
      </c>
      <c r="W45" s="35">
        <v>5</v>
      </c>
      <c r="X45" s="35">
        <v>1</v>
      </c>
      <c r="Y45" s="35">
        <v>2</v>
      </c>
      <c r="Z45" s="35">
        <v>1</v>
      </c>
      <c r="AA45" s="35">
        <v>1</v>
      </c>
      <c r="AB45" s="35">
        <v>12</v>
      </c>
    </row>
    <row r="46" spans="6:28">
      <c r="F46" s="25" t="s">
        <v>23</v>
      </c>
      <c r="G46" s="6">
        <v>26881.64</v>
      </c>
      <c r="H46" s="6">
        <v>12980.14</v>
      </c>
      <c r="I46" s="6">
        <v>20577.91</v>
      </c>
      <c r="J46" s="6">
        <v>22664.799999999999</v>
      </c>
      <c r="K46" s="6">
        <v>10491.98</v>
      </c>
      <c r="L46" s="6">
        <v>4666.74</v>
      </c>
      <c r="M46" s="6">
        <v>10706.16</v>
      </c>
      <c r="N46" s="6">
        <v>23234.6</v>
      </c>
      <c r="O46" s="6">
        <v>7246.84</v>
      </c>
      <c r="P46" s="6">
        <v>19343.010000000002</v>
      </c>
      <c r="Q46" s="6">
        <v>2832.91</v>
      </c>
      <c r="R46" s="6">
        <v>8579.8499999999985</v>
      </c>
      <c r="S46" s="6">
        <v>170206.58000000002</v>
      </c>
      <c r="U46" s="26" t="s">
        <v>10</v>
      </c>
      <c r="V46" s="35">
        <v>3</v>
      </c>
      <c r="W46" s="35">
        <v>1</v>
      </c>
      <c r="X46" s="35">
        <v>1</v>
      </c>
      <c r="Y46" s="35">
        <v>1</v>
      </c>
      <c r="Z46" s="35">
        <v>1</v>
      </c>
      <c r="AA46" s="35"/>
      <c r="AB46" s="35">
        <v>7</v>
      </c>
    </row>
    <row r="47" spans="6:28">
      <c r="F47" s="26" t="s">
        <v>55</v>
      </c>
      <c r="G47" s="6">
        <v>3711.91</v>
      </c>
      <c r="H47" s="6"/>
      <c r="I47" s="6">
        <v>9937.5499999999993</v>
      </c>
      <c r="J47" s="6">
        <v>6252.79</v>
      </c>
      <c r="K47" s="6"/>
      <c r="L47" s="6"/>
      <c r="M47" s="6"/>
      <c r="N47" s="6">
        <v>4770.8599999999997</v>
      </c>
      <c r="O47" s="6">
        <v>7246.84</v>
      </c>
      <c r="P47" s="6"/>
      <c r="Q47" s="6"/>
      <c r="R47" s="6"/>
      <c r="S47" s="6">
        <v>31919.95</v>
      </c>
      <c r="U47" s="25" t="s">
        <v>23</v>
      </c>
      <c r="V47" s="35">
        <v>14</v>
      </c>
      <c r="W47" s="35">
        <v>2</v>
      </c>
      <c r="X47" s="35">
        <v>6</v>
      </c>
      <c r="Y47" s="35">
        <v>3</v>
      </c>
      <c r="Z47" s="35">
        <v>5</v>
      </c>
      <c r="AA47" s="35">
        <v>4</v>
      </c>
      <c r="AB47" s="35">
        <v>34</v>
      </c>
    </row>
    <row r="48" spans="6:28">
      <c r="F48" s="26" t="s">
        <v>30</v>
      </c>
      <c r="G48" s="6"/>
      <c r="H48" s="6"/>
      <c r="I48" s="6">
        <v>8821.6</v>
      </c>
      <c r="J48" s="6"/>
      <c r="K48" s="6">
        <v>8151.68</v>
      </c>
      <c r="L48" s="6">
        <v>1021.24</v>
      </c>
      <c r="M48" s="6"/>
      <c r="N48" s="6">
        <v>5157.5600000000004</v>
      </c>
      <c r="O48" s="6"/>
      <c r="P48" s="6"/>
      <c r="Q48" s="6">
        <v>2832.91</v>
      </c>
      <c r="R48" s="6">
        <v>5329.19</v>
      </c>
      <c r="S48" s="6">
        <v>31314.18</v>
      </c>
      <c r="U48" s="26" t="s">
        <v>55</v>
      </c>
      <c r="V48" s="35">
        <v>2</v>
      </c>
      <c r="W48" s="35">
        <v>1</v>
      </c>
      <c r="X48" s="35"/>
      <c r="Y48" s="35">
        <v>1</v>
      </c>
      <c r="Z48" s="35"/>
      <c r="AA48" s="35">
        <v>1</v>
      </c>
      <c r="AB48" s="35">
        <v>5</v>
      </c>
    </row>
    <row r="49" spans="6:28">
      <c r="F49" s="26" t="s">
        <v>24</v>
      </c>
      <c r="G49" s="6">
        <v>11176.91</v>
      </c>
      <c r="H49" s="6">
        <v>8692.98</v>
      </c>
      <c r="I49" s="6"/>
      <c r="J49" s="6">
        <v>12433.419999999998</v>
      </c>
      <c r="K49" s="6">
        <v>2340.3000000000002</v>
      </c>
      <c r="L49" s="6"/>
      <c r="M49" s="6">
        <v>1254.8</v>
      </c>
      <c r="N49" s="6">
        <v>13306.18</v>
      </c>
      <c r="O49" s="6"/>
      <c r="P49" s="6">
        <v>949.88</v>
      </c>
      <c r="Q49" s="6"/>
      <c r="R49" s="6">
        <v>3250.66</v>
      </c>
      <c r="S49" s="6">
        <v>53405.130000000005</v>
      </c>
      <c r="U49" s="26" t="s">
        <v>30</v>
      </c>
      <c r="V49" s="35">
        <v>5</v>
      </c>
      <c r="W49" s="35"/>
      <c r="X49" s="35">
        <v>1</v>
      </c>
      <c r="Y49" s="35"/>
      <c r="Z49" s="35">
        <v>1</v>
      </c>
      <c r="AA49" s="35">
        <v>1</v>
      </c>
      <c r="AB49" s="35">
        <v>8</v>
      </c>
    </row>
    <row r="50" spans="6:28">
      <c r="F50" s="26" t="s">
        <v>44</v>
      </c>
      <c r="G50" s="6">
        <v>11992.82</v>
      </c>
      <c r="H50" s="6">
        <v>4287.16</v>
      </c>
      <c r="I50" s="6">
        <v>1818.76</v>
      </c>
      <c r="J50" s="6">
        <v>3978.59</v>
      </c>
      <c r="K50" s="6"/>
      <c r="L50" s="6">
        <v>3645.5</v>
      </c>
      <c r="M50" s="6">
        <v>9451.36</v>
      </c>
      <c r="N50" s="6"/>
      <c r="O50" s="6"/>
      <c r="P50" s="6">
        <v>18393.13</v>
      </c>
      <c r="Q50" s="6"/>
      <c r="R50" s="6"/>
      <c r="S50" s="6">
        <v>53567.320000000007</v>
      </c>
      <c r="U50" s="26" t="s">
        <v>24</v>
      </c>
      <c r="V50" s="35">
        <v>3</v>
      </c>
      <c r="W50" s="35"/>
      <c r="X50" s="35">
        <v>4</v>
      </c>
      <c r="Y50" s="35">
        <v>1</v>
      </c>
      <c r="Z50" s="35">
        <v>1</v>
      </c>
      <c r="AA50" s="35">
        <v>2</v>
      </c>
      <c r="AB50" s="35">
        <v>11</v>
      </c>
    </row>
    <row r="51" spans="6:28">
      <c r="F51" s="25" t="s">
        <v>34</v>
      </c>
      <c r="G51" s="6">
        <v>29510.82</v>
      </c>
      <c r="H51" s="6">
        <v>15444.8</v>
      </c>
      <c r="I51" s="6">
        <v>5780.4500000000007</v>
      </c>
      <c r="J51" s="6">
        <v>38477.350000000006</v>
      </c>
      <c r="K51" s="6">
        <v>12409.99</v>
      </c>
      <c r="L51" s="6">
        <v>10988.78</v>
      </c>
      <c r="M51" s="6">
        <v>13458.09</v>
      </c>
      <c r="N51" s="6"/>
      <c r="O51" s="6">
        <v>9092.65</v>
      </c>
      <c r="P51" s="6">
        <v>17598.72</v>
      </c>
      <c r="Q51" s="6">
        <v>32798.800000000003</v>
      </c>
      <c r="R51" s="6">
        <v>4413.29</v>
      </c>
      <c r="S51" s="6">
        <v>189973.74</v>
      </c>
      <c r="U51" s="26" t="s">
        <v>44</v>
      </c>
      <c r="V51" s="35">
        <v>4</v>
      </c>
      <c r="W51" s="35">
        <v>1</v>
      </c>
      <c r="X51" s="35">
        <v>1</v>
      </c>
      <c r="Y51" s="35">
        <v>1</v>
      </c>
      <c r="Z51" s="35">
        <v>3</v>
      </c>
      <c r="AA51" s="35"/>
      <c r="AB51" s="35">
        <v>10</v>
      </c>
    </row>
    <row r="52" spans="6:28">
      <c r="F52" s="26" t="s">
        <v>43</v>
      </c>
      <c r="G52" s="6"/>
      <c r="H52" s="6"/>
      <c r="I52" s="6"/>
      <c r="J52" s="6">
        <v>15423.310000000001</v>
      </c>
      <c r="K52" s="6">
        <v>1184.17</v>
      </c>
      <c r="L52" s="6">
        <v>7302.14</v>
      </c>
      <c r="M52" s="6"/>
      <c r="N52" s="6"/>
      <c r="O52" s="6"/>
      <c r="P52" s="6"/>
      <c r="Q52" s="6">
        <v>17976.77</v>
      </c>
      <c r="R52" s="6"/>
      <c r="S52" s="6">
        <v>41886.39</v>
      </c>
      <c r="U52" s="25" t="s">
        <v>34</v>
      </c>
      <c r="V52" s="35">
        <v>11</v>
      </c>
      <c r="W52" s="35">
        <v>5</v>
      </c>
      <c r="X52" s="35">
        <v>2</v>
      </c>
      <c r="Y52" s="35">
        <v>6</v>
      </c>
      <c r="Z52" s="35">
        <v>8</v>
      </c>
      <c r="AA52" s="35">
        <v>6</v>
      </c>
      <c r="AB52" s="35">
        <v>38</v>
      </c>
    </row>
    <row r="53" spans="6:28">
      <c r="F53" s="26" t="s">
        <v>35</v>
      </c>
      <c r="G53" s="6">
        <v>17805.46</v>
      </c>
      <c r="H53" s="6">
        <v>6488.17</v>
      </c>
      <c r="I53" s="6"/>
      <c r="J53" s="6">
        <v>22208.79</v>
      </c>
      <c r="K53" s="6">
        <v>6122.65</v>
      </c>
      <c r="L53" s="6"/>
      <c r="M53" s="6">
        <v>8035.93</v>
      </c>
      <c r="N53" s="6"/>
      <c r="O53" s="6">
        <v>9092.65</v>
      </c>
      <c r="P53" s="6"/>
      <c r="Q53" s="6">
        <v>14822.03</v>
      </c>
      <c r="R53" s="6">
        <v>1342.77</v>
      </c>
      <c r="S53" s="6">
        <v>85918.45</v>
      </c>
      <c r="U53" s="26" t="s">
        <v>43</v>
      </c>
      <c r="V53" s="35">
        <v>3</v>
      </c>
      <c r="W53" s="35">
        <v>2</v>
      </c>
      <c r="X53" s="35"/>
      <c r="Y53" s="35">
        <v>2</v>
      </c>
      <c r="Z53" s="35"/>
      <c r="AA53" s="35">
        <v>1</v>
      </c>
      <c r="AB53" s="35">
        <v>8</v>
      </c>
    </row>
    <row r="54" spans="6:28">
      <c r="F54" s="26" t="s">
        <v>49</v>
      </c>
      <c r="G54" s="6">
        <v>5372.31</v>
      </c>
      <c r="H54" s="6">
        <v>8956.6299999999992</v>
      </c>
      <c r="I54" s="6">
        <v>3481.09</v>
      </c>
      <c r="J54" s="6"/>
      <c r="K54" s="6">
        <v>5103.17</v>
      </c>
      <c r="L54" s="6"/>
      <c r="M54" s="6">
        <v>2308.25</v>
      </c>
      <c r="N54" s="6"/>
      <c r="O54" s="6"/>
      <c r="P54" s="6">
        <v>17598.72</v>
      </c>
      <c r="Q54" s="6"/>
      <c r="R54" s="6">
        <v>3070.52</v>
      </c>
      <c r="S54" s="6">
        <v>45890.689999999995</v>
      </c>
      <c r="U54" s="26" t="s">
        <v>35</v>
      </c>
      <c r="V54" s="35">
        <v>6</v>
      </c>
      <c r="W54" s="35"/>
      <c r="X54" s="35">
        <v>2</v>
      </c>
      <c r="Y54" s="35">
        <v>2</v>
      </c>
      <c r="Z54" s="35">
        <v>2</v>
      </c>
      <c r="AA54" s="35">
        <v>3</v>
      </c>
      <c r="AB54" s="35">
        <v>15</v>
      </c>
    </row>
    <row r="55" spans="6:28">
      <c r="F55" s="26" t="s">
        <v>56</v>
      </c>
      <c r="G55" s="6">
        <v>6333.05</v>
      </c>
      <c r="H55" s="6"/>
      <c r="I55" s="6">
        <v>2299.36</v>
      </c>
      <c r="J55" s="6">
        <v>845.25</v>
      </c>
      <c r="K55" s="6"/>
      <c r="L55" s="6">
        <v>3686.64</v>
      </c>
      <c r="M55" s="6">
        <v>3113.91</v>
      </c>
      <c r="N55" s="6"/>
      <c r="O55" s="6"/>
      <c r="P55" s="6"/>
      <c r="Q55" s="6"/>
      <c r="R55" s="6"/>
      <c r="S55" s="6">
        <v>16278.21</v>
      </c>
      <c r="U55" s="26" t="s">
        <v>49</v>
      </c>
      <c r="V55" s="35">
        <v>1</v>
      </c>
      <c r="W55" s="35">
        <v>3</v>
      </c>
      <c r="X55" s="35"/>
      <c r="Y55" s="35">
        <v>2</v>
      </c>
      <c r="Z55" s="35">
        <v>3</v>
      </c>
      <c r="AA55" s="35">
        <v>1</v>
      </c>
      <c r="AB55" s="35">
        <v>10</v>
      </c>
    </row>
    <row r="56" spans="6:28">
      <c r="F56" s="25" t="s">
        <v>19</v>
      </c>
      <c r="G56" s="6">
        <v>28773.579999999998</v>
      </c>
      <c r="H56" s="6">
        <v>19047.09</v>
      </c>
      <c r="I56" s="6">
        <v>18933.96</v>
      </c>
      <c r="J56" s="6">
        <v>16863.150000000001</v>
      </c>
      <c r="K56" s="6">
        <v>11739.29</v>
      </c>
      <c r="L56" s="6">
        <v>38561.08</v>
      </c>
      <c r="M56" s="6">
        <v>29640.52</v>
      </c>
      <c r="N56" s="6">
        <v>12290.150000000001</v>
      </c>
      <c r="O56" s="6">
        <v>33940.99</v>
      </c>
      <c r="P56" s="6">
        <v>19089.07</v>
      </c>
      <c r="Q56" s="6">
        <v>8558.85</v>
      </c>
      <c r="R56" s="6"/>
      <c r="S56" s="6">
        <v>237437.72999999998</v>
      </c>
      <c r="U56" s="26" t="s">
        <v>56</v>
      </c>
      <c r="V56" s="35">
        <v>1</v>
      </c>
      <c r="W56" s="35"/>
      <c r="X56" s="35"/>
      <c r="Y56" s="35"/>
      <c r="Z56" s="35">
        <v>3</v>
      </c>
      <c r="AA56" s="35">
        <v>1</v>
      </c>
      <c r="AB56" s="35">
        <v>5</v>
      </c>
    </row>
    <row r="57" spans="6:28">
      <c r="F57" s="26" t="s">
        <v>32</v>
      </c>
      <c r="G57" s="6">
        <v>9636.9500000000007</v>
      </c>
      <c r="H57" s="6">
        <v>10414.9</v>
      </c>
      <c r="I57" s="6">
        <v>10124.24</v>
      </c>
      <c r="J57" s="6">
        <v>5574.28</v>
      </c>
      <c r="K57" s="6"/>
      <c r="L57" s="6">
        <v>3475.29</v>
      </c>
      <c r="M57" s="6">
        <v>16140.04</v>
      </c>
      <c r="N57" s="6">
        <v>105.17</v>
      </c>
      <c r="O57" s="6">
        <v>15236.97</v>
      </c>
      <c r="P57" s="6">
        <v>9863.86</v>
      </c>
      <c r="Q57" s="6"/>
      <c r="R57" s="6"/>
      <c r="S57" s="6">
        <v>80571.7</v>
      </c>
      <c r="U57" s="25" t="s">
        <v>19</v>
      </c>
      <c r="V57" s="35">
        <v>11</v>
      </c>
      <c r="W57" s="35">
        <v>5</v>
      </c>
      <c r="X57" s="35">
        <v>6</v>
      </c>
      <c r="Y57" s="35">
        <v>12</v>
      </c>
      <c r="Z57" s="35">
        <v>8</v>
      </c>
      <c r="AA57" s="35">
        <v>5</v>
      </c>
      <c r="AB57" s="35">
        <v>47</v>
      </c>
    </row>
    <row r="58" spans="6:28">
      <c r="F58" s="26" t="s">
        <v>41</v>
      </c>
      <c r="G58" s="6">
        <v>19136.629999999997</v>
      </c>
      <c r="H58" s="6"/>
      <c r="I58" s="6">
        <v>8809.7199999999993</v>
      </c>
      <c r="J58" s="6">
        <v>1024.99</v>
      </c>
      <c r="K58" s="6">
        <v>6198.7</v>
      </c>
      <c r="L58" s="6">
        <v>8559.49</v>
      </c>
      <c r="M58" s="6">
        <v>11870.45</v>
      </c>
      <c r="N58" s="6">
        <v>1619.29</v>
      </c>
      <c r="O58" s="6">
        <v>9959.27</v>
      </c>
      <c r="P58" s="6">
        <v>933.26</v>
      </c>
      <c r="Q58" s="6">
        <v>8558.85</v>
      </c>
      <c r="R58" s="6"/>
      <c r="S58" s="6">
        <v>76670.649999999994</v>
      </c>
      <c r="U58" s="26" t="s">
        <v>32</v>
      </c>
      <c r="V58" s="35">
        <v>3</v>
      </c>
      <c r="W58" s="35">
        <v>1</v>
      </c>
      <c r="X58" s="35">
        <v>3</v>
      </c>
      <c r="Y58" s="35">
        <v>5</v>
      </c>
      <c r="Z58" s="35">
        <v>1</v>
      </c>
      <c r="AA58" s="35">
        <v>2</v>
      </c>
      <c r="AB58" s="35">
        <v>15</v>
      </c>
    </row>
    <row r="59" spans="6:28">
      <c r="F59" s="26" t="s">
        <v>52</v>
      </c>
      <c r="G59" s="6"/>
      <c r="H59" s="6">
        <v>2089.1</v>
      </c>
      <c r="I59" s="6"/>
      <c r="J59" s="6"/>
      <c r="K59" s="6"/>
      <c r="L59" s="6">
        <v>12262.91</v>
      </c>
      <c r="M59" s="6"/>
      <c r="N59" s="6">
        <v>3338.63</v>
      </c>
      <c r="O59" s="6">
        <v>8744.75</v>
      </c>
      <c r="P59" s="6">
        <v>8291.9500000000007</v>
      </c>
      <c r="Q59" s="6"/>
      <c r="R59" s="6"/>
      <c r="S59" s="6">
        <v>34727.339999999997</v>
      </c>
      <c r="U59" s="26" t="s">
        <v>41</v>
      </c>
      <c r="V59" s="35">
        <v>4</v>
      </c>
      <c r="W59" s="35">
        <v>3</v>
      </c>
      <c r="X59" s="35">
        <v>3</v>
      </c>
      <c r="Y59" s="35">
        <v>4</v>
      </c>
      <c r="Z59" s="35">
        <v>3</v>
      </c>
      <c r="AA59" s="35">
        <v>1</v>
      </c>
      <c r="AB59" s="35">
        <v>18</v>
      </c>
    </row>
    <row r="60" spans="6:28">
      <c r="F60" s="26" t="s">
        <v>20</v>
      </c>
      <c r="G60" s="6"/>
      <c r="H60" s="6">
        <v>6543.09</v>
      </c>
      <c r="I60" s="6"/>
      <c r="J60" s="6">
        <v>10263.880000000001</v>
      </c>
      <c r="K60" s="6">
        <v>5540.59</v>
      </c>
      <c r="L60" s="6">
        <v>14263.39</v>
      </c>
      <c r="M60" s="6">
        <v>1630.03</v>
      </c>
      <c r="N60" s="6">
        <v>7227.06</v>
      </c>
      <c r="O60" s="6"/>
      <c r="P60" s="6"/>
      <c r="Q60" s="6"/>
      <c r="R60" s="6"/>
      <c r="S60" s="6">
        <v>45468.039999999994</v>
      </c>
      <c r="U60" s="26" t="s">
        <v>52</v>
      </c>
      <c r="V60" s="35">
        <v>1</v>
      </c>
      <c r="W60" s="35">
        <v>1</v>
      </c>
      <c r="X60" s="35"/>
      <c r="Y60" s="35">
        <v>1</v>
      </c>
      <c r="Z60" s="35">
        <v>2</v>
      </c>
      <c r="AA60" s="35">
        <v>1</v>
      </c>
      <c r="AB60" s="35">
        <v>6</v>
      </c>
    </row>
    <row r="61" spans="6:28">
      <c r="F61" s="25" t="s">
        <v>67</v>
      </c>
      <c r="G61" s="6">
        <v>113697.63999999998</v>
      </c>
      <c r="H61" s="6">
        <v>97653.54</v>
      </c>
      <c r="I61" s="6">
        <v>69469.649999999994</v>
      </c>
      <c r="J61" s="6">
        <v>117785.47000000002</v>
      </c>
      <c r="K61" s="6">
        <v>51206.009999999995</v>
      </c>
      <c r="L61" s="6">
        <v>111064.26</v>
      </c>
      <c r="M61" s="6">
        <v>94539.45</v>
      </c>
      <c r="N61" s="6">
        <v>62616.81</v>
      </c>
      <c r="O61" s="6">
        <v>65562.06</v>
      </c>
      <c r="P61" s="6">
        <v>87670.03</v>
      </c>
      <c r="Q61" s="6">
        <v>63912.189999999995</v>
      </c>
      <c r="R61" s="6">
        <v>45963.099999999991</v>
      </c>
      <c r="S61" s="6">
        <v>981140.20999999985</v>
      </c>
      <c r="U61" s="26" t="s">
        <v>20</v>
      </c>
      <c r="V61" s="35">
        <v>3</v>
      </c>
      <c r="W61" s="35"/>
      <c r="X61" s="35"/>
      <c r="Y61" s="35">
        <v>2</v>
      </c>
      <c r="Z61" s="35">
        <v>2</v>
      </c>
      <c r="AA61" s="35">
        <v>1</v>
      </c>
      <c r="AB61" s="35">
        <v>8</v>
      </c>
    </row>
    <row r="62" spans="6:28">
      <c r="U62" s="25" t="s">
        <v>67</v>
      </c>
      <c r="V62" s="35">
        <v>62</v>
      </c>
      <c r="W62" s="35">
        <v>25</v>
      </c>
      <c r="X62" s="35">
        <v>24</v>
      </c>
      <c r="Y62" s="35">
        <v>37</v>
      </c>
      <c r="Z62" s="35">
        <v>28</v>
      </c>
      <c r="AA62" s="35">
        <v>24</v>
      </c>
      <c r="AB62" s="35">
        <v>200</v>
      </c>
    </row>
    <row r="65" spans="6:19">
      <c r="F65" s="24" t="s">
        <v>70</v>
      </c>
      <c r="G65" s="24" t="s">
        <v>0</v>
      </c>
    </row>
    <row r="66" spans="6:19">
      <c r="F66" s="24" t="s">
        <v>72</v>
      </c>
      <c r="G66" t="s">
        <v>36</v>
      </c>
      <c r="H66" t="s">
        <v>25</v>
      </c>
      <c r="I66" t="s">
        <v>28</v>
      </c>
      <c r="J66" t="s">
        <v>39</v>
      </c>
      <c r="K66" t="s">
        <v>7</v>
      </c>
      <c r="L66" t="s">
        <v>17</v>
      </c>
      <c r="M66" t="s">
        <v>37</v>
      </c>
      <c r="N66" t="s">
        <v>40</v>
      </c>
      <c r="O66" t="s">
        <v>54</v>
      </c>
      <c r="P66" t="s">
        <v>51</v>
      </c>
      <c r="Q66" t="s">
        <v>12</v>
      </c>
      <c r="R66" t="s">
        <v>22</v>
      </c>
      <c r="S66" t="s">
        <v>67</v>
      </c>
    </row>
    <row r="67" spans="6:19">
      <c r="F67" s="25" t="s">
        <v>14</v>
      </c>
      <c r="G67" s="27">
        <v>57.041604458166624</v>
      </c>
      <c r="H67" s="27">
        <v>35.888351998757607</v>
      </c>
      <c r="I67" s="27">
        <v>47.055129563387744</v>
      </c>
      <c r="J67" s="27">
        <v>43.593905901629562</v>
      </c>
      <c r="K67" s="27">
        <v>38.052167277773293</v>
      </c>
      <c r="L67" s="27">
        <v>37.843439302833751</v>
      </c>
      <c r="M67" s="27">
        <v>47.901583421945084</v>
      </c>
      <c r="N67" s="27">
        <v>53.511063612024564</v>
      </c>
      <c r="O67" s="27"/>
      <c r="P67" s="27">
        <v>32.279743908704425</v>
      </c>
      <c r="Q67" s="27">
        <v>54.443182448390559</v>
      </c>
      <c r="R67" s="27">
        <v>66.523886563999966</v>
      </c>
      <c r="S67" s="27">
        <v>47.660041532930634</v>
      </c>
    </row>
    <row r="68" spans="6:19">
      <c r="F68" s="26" t="s">
        <v>26</v>
      </c>
      <c r="G68" s="27"/>
      <c r="H68" s="27">
        <v>32.943893087760493</v>
      </c>
      <c r="I68" s="27">
        <v>48.576424152894468</v>
      </c>
      <c r="J68" s="27">
        <v>36.177586334183282</v>
      </c>
      <c r="K68" s="27"/>
      <c r="L68" s="27">
        <v>18.3465897960481</v>
      </c>
      <c r="M68" s="27"/>
      <c r="N68" s="27">
        <v>3.411675643995423</v>
      </c>
      <c r="O68" s="27"/>
      <c r="P68" s="27">
        <v>43.528985030656486</v>
      </c>
      <c r="Q68" s="27"/>
      <c r="R68" s="27">
        <v>62.748661954074301</v>
      </c>
      <c r="S68" s="27">
        <v>41.476012493841765</v>
      </c>
    </row>
    <row r="69" spans="6:19">
      <c r="F69" s="26" t="s">
        <v>15</v>
      </c>
      <c r="G69" s="27">
        <v>28.705829011873391</v>
      </c>
      <c r="H69" s="27"/>
      <c r="I69" s="27">
        <v>80.45358301004471</v>
      </c>
      <c r="J69" s="27">
        <v>51.010225469075841</v>
      </c>
      <c r="K69" s="27">
        <v>82.191756847417082</v>
      </c>
      <c r="L69" s="27">
        <v>47.390415099741105</v>
      </c>
      <c r="M69" s="27">
        <v>62.824987549567311</v>
      </c>
      <c r="N69" s="27">
        <v>80.969390322972217</v>
      </c>
      <c r="O69" s="27"/>
      <c r="P69" s="27">
        <v>9.781261664800299</v>
      </c>
      <c r="Q69" s="27">
        <v>54.443182448390559</v>
      </c>
      <c r="R69" s="27">
        <v>70.299111173925652</v>
      </c>
      <c r="S69" s="27">
        <v>57.892968749556516</v>
      </c>
    </row>
    <row r="70" spans="6:19">
      <c r="F70" s="26" t="s">
        <v>45</v>
      </c>
      <c r="G70" s="27">
        <v>66.486862940264373</v>
      </c>
      <c r="H70" s="27">
        <v>18.579748978582852</v>
      </c>
      <c r="I70" s="27">
        <v>12.135381527224066</v>
      </c>
      <c r="J70" s="27"/>
      <c r="K70" s="27">
        <v>30.505837850230076</v>
      </c>
      <c r="L70" s="27"/>
      <c r="M70" s="27">
        <v>11.742134827829167</v>
      </c>
      <c r="N70" s="27">
        <v>76.152124869106046</v>
      </c>
      <c r="O70" s="27"/>
      <c r="P70" s="27"/>
      <c r="Q70" s="27"/>
      <c r="R70" s="27"/>
      <c r="S70" s="27">
        <v>40.795062872483129</v>
      </c>
    </row>
    <row r="71" spans="6:19">
      <c r="F71" s="26" t="s">
        <v>42</v>
      </c>
      <c r="G71" s="27"/>
      <c r="H71" s="27">
        <v>54.669184474430921</v>
      </c>
      <c r="I71" s="27"/>
      <c r="J71" s="27"/>
      <c r="K71" s="27">
        <v>1.4589071356727235</v>
      </c>
      <c r="L71" s="27">
        <v>38.246337215804694</v>
      </c>
      <c r="M71" s="27">
        <v>54.98026491077632</v>
      </c>
      <c r="N71" s="27"/>
      <c r="O71" s="27"/>
      <c r="P71" s="27"/>
      <c r="Q71" s="27"/>
      <c r="R71" s="27"/>
      <c r="S71" s="27">
        <v>44.854915433238318</v>
      </c>
    </row>
    <row r="72" spans="6:19">
      <c r="F72" s="25" t="s">
        <v>9</v>
      </c>
      <c r="G72" s="27">
        <v>63.126327625903045</v>
      </c>
      <c r="H72" s="27">
        <v>33.90918664010978</v>
      </c>
      <c r="I72" s="27">
        <v>51.81534482965823</v>
      </c>
      <c r="J72" s="27">
        <v>48.197477753982533</v>
      </c>
      <c r="K72" s="27">
        <v>68.426677231495148</v>
      </c>
      <c r="L72" s="27">
        <v>38.306531551941859</v>
      </c>
      <c r="M72" s="27">
        <v>27.427327222729144</v>
      </c>
      <c r="N72" s="27">
        <v>35.601674098892765</v>
      </c>
      <c r="O72" s="27">
        <v>24.897259576454527</v>
      </c>
      <c r="P72" s="27">
        <v>54.550912138584913</v>
      </c>
      <c r="Q72" s="27">
        <v>45.976321839868298</v>
      </c>
      <c r="R72" s="27">
        <v>8.7579609075866234</v>
      </c>
      <c r="S72" s="27">
        <v>42.931224781190174</v>
      </c>
    </row>
    <row r="73" spans="6:19">
      <c r="F73" s="26" t="s">
        <v>50</v>
      </c>
      <c r="G73" s="27">
        <v>79.715769709665835</v>
      </c>
      <c r="H73" s="27">
        <v>3.3230127561452258</v>
      </c>
      <c r="I73" s="27"/>
      <c r="J73" s="27">
        <v>35.300124668416025</v>
      </c>
      <c r="K73" s="27"/>
      <c r="L73" s="27">
        <v>29.321026695302855</v>
      </c>
      <c r="M73" s="27">
        <v>10.117568725609269</v>
      </c>
      <c r="N73" s="27">
        <v>43.694640780173572</v>
      </c>
      <c r="O73" s="27">
        <v>9.7622827908617804</v>
      </c>
      <c r="P73" s="27">
        <v>25.515079596086242</v>
      </c>
      <c r="Q73" s="27"/>
      <c r="R73" s="27"/>
      <c r="S73" s="27">
        <v>35.176540010034266</v>
      </c>
    </row>
    <row r="74" spans="6:19">
      <c r="F74" s="26" t="s">
        <v>46</v>
      </c>
      <c r="G74" s="27"/>
      <c r="H74" s="27">
        <v>33.476864463714215</v>
      </c>
      <c r="I74" s="27">
        <v>51.81534482965823</v>
      </c>
      <c r="J74" s="27">
        <v>62.567811611790532</v>
      </c>
      <c r="K74" s="27"/>
      <c r="L74" s="27">
        <v>61.626344035260203</v>
      </c>
      <c r="M74" s="27">
        <v>25.697025325378476</v>
      </c>
      <c r="N74" s="27">
        <v>29.288264208350757</v>
      </c>
      <c r="O74" s="27"/>
      <c r="P74" s="27">
        <v>68.247177815537668</v>
      </c>
      <c r="Q74" s="27">
        <v>54.895488170776787</v>
      </c>
      <c r="R74" s="27"/>
      <c r="S74" s="27">
        <v>52.655916562726112</v>
      </c>
    </row>
    <row r="75" spans="6:19">
      <c r="F75" s="26" t="s">
        <v>53</v>
      </c>
      <c r="G75" s="27">
        <v>58.793031991700474</v>
      </c>
      <c r="H75" s="27">
        <v>32.057616141187225</v>
      </c>
      <c r="I75" s="27"/>
      <c r="J75" s="27">
        <v>46.724496981741062</v>
      </c>
      <c r="K75" s="27">
        <v>71.595950415208563</v>
      </c>
      <c r="L75" s="27">
        <v>9.0599547861633276</v>
      </c>
      <c r="M75" s="27">
        <v>46.467387617199684</v>
      </c>
      <c r="N75" s="27">
        <v>33.822117308153956</v>
      </c>
      <c r="O75" s="27">
        <v>40.032236362047271</v>
      </c>
      <c r="P75" s="27"/>
      <c r="Q75" s="27">
        <v>41.51673867441405</v>
      </c>
      <c r="R75" s="27">
        <v>9.9479175517001117</v>
      </c>
      <c r="S75" s="27">
        <v>39.854890290472575</v>
      </c>
    </row>
    <row r="76" spans="6:19">
      <c r="F76" s="26" t="s">
        <v>10</v>
      </c>
      <c r="G76" s="27">
        <v>34.280739092580049</v>
      </c>
      <c r="H76" s="27">
        <v>66.779253199392457</v>
      </c>
      <c r="I76" s="27"/>
      <c r="J76" s="27"/>
      <c r="K76" s="27">
        <v>65.257404047781719</v>
      </c>
      <c r="L76" s="27">
        <v>34.102759879832284</v>
      </c>
      <c r="M76" s="27"/>
      <c r="N76" s="27"/>
      <c r="O76" s="27"/>
      <c r="P76" s="27">
        <v>56.194213327178055</v>
      </c>
      <c r="Q76" s="27"/>
      <c r="R76" s="27">
        <v>7.568004263473135</v>
      </c>
      <c r="S76" s="27">
        <v>42.612161955724282</v>
      </c>
    </row>
    <row r="77" spans="6:19">
      <c r="F77" s="25" t="s">
        <v>23</v>
      </c>
      <c r="G77" s="27">
        <v>18.047773823313147</v>
      </c>
      <c r="H77" s="27">
        <v>48.554406526351784</v>
      </c>
      <c r="I77" s="27">
        <v>24.045721816095394</v>
      </c>
      <c r="J77" s="27">
        <v>59.817422249856186</v>
      </c>
      <c r="K77" s="27">
        <v>23.006803140071344</v>
      </c>
      <c r="L77" s="27">
        <v>29.355501801185959</v>
      </c>
      <c r="M77" s="27">
        <v>32.108205474539915</v>
      </c>
      <c r="N77" s="27">
        <v>51.15381911444095</v>
      </c>
      <c r="O77" s="27">
        <v>87.501310916206236</v>
      </c>
      <c r="P77" s="27">
        <v>59.639392074205809</v>
      </c>
      <c r="Q77" s="27">
        <v>87.000292984951869</v>
      </c>
      <c r="R77" s="27">
        <v>12.735896428315906</v>
      </c>
      <c r="S77" s="27">
        <v>39.938068350503485</v>
      </c>
    </row>
    <row r="78" spans="6:19">
      <c r="F78" s="26" t="s">
        <v>55</v>
      </c>
      <c r="G78" s="27">
        <v>24.554474650516852</v>
      </c>
      <c r="H78" s="27"/>
      <c r="I78" s="27">
        <v>72.332114052256344</v>
      </c>
      <c r="J78" s="27">
        <v>77.231283954842553</v>
      </c>
      <c r="K78" s="27"/>
      <c r="L78" s="27"/>
      <c r="M78" s="27"/>
      <c r="N78" s="27">
        <v>10.951484637989797</v>
      </c>
      <c r="O78" s="27">
        <v>87.501310916206236</v>
      </c>
      <c r="P78" s="27"/>
      <c r="Q78" s="27"/>
      <c r="R78" s="27"/>
      <c r="S78" s="27">
        <v>54.514133642362353</v>
      </c>
    </row>
    <row r="79" spans="6:19">
      <c r="F79" s="26" t="s">
        <v>30</v>
      </c>
      <c r="G79" s="27"/>
      <c r="H79" s="27"/>
      <c r="I79" s="27">
        <v>8.4499417975117339</v>
      </c>
      <c r="J79" s="27"/>
      <c r="K79" s="27">
        <v>28.159095877906015</v>
      </c>
      <c r="L79" s="27">
        <v>39.860365829775567</v>
      </c>
      <c r="M79" s="27"/>
      <c r="N79" s="27">
        <v>74.524969171468683</v>
      </c>
      <c r="O79" s="27"/>
      <c r="P79" s="27"/>
      <c r="Q79" s="27">
        <v>87.000292984951869</v>
      </c>
      <c r="R79" s="27">
        <v>13.309339693274215</v>
      </c>
      <c r="S79" s="27">
        <v>35.989130378788232</v>
      </c>
    </row>
    <row r="80" spans="6:19">
      <c r="F80" s="26" t="s">
        <v>24</v>
      </c>
      <c r="G80" s="27">
        <v>25.770071082124069</v>
      </c>
      <c r="H80" s="27">
        <v>11.258739810743842</v>
      </c>
      <c r="I80" s="27"/>
      <c r="J80" s="27">
        <v>61.566079682289995</v>
      </c>
      <c r="K80" s="27">
        <v>12.702217664401999</v>
      </c>
      <c r="L80" s="27"/>
      <c r="M80" s="27">
        <v>27.760599298693016</v>
      </c>
      <c r="N80" s="27">
        <v>59.569411324152675</v>
      </c>
      <c r="O80" s="27"/>
      <c r="P80" s="27">
        <v>60.876110666610515</v>
      </c>
      <c r="Q80" s="27"/>
      <c r="R80" s="27">
        <v>12.162453163357597</v>
      </c>
      <c r="S80" s="27">
        <v>38.051931343721861</v>
      </c>
    </row>
    <row r="81" spans="6:19">
      <c r="F81" s="26" t="s">
        <v>44</v>
      </c>
      <c r="G81" s="27">
        <v>7.072126150900381</v>
      </c>
      <c r="H81" s="27">
        <v>85.85007324195972</v>
      </c>
      <c r="I81" s="27">
        <v>6.9508896171017618</v>
      </c>
      <c r="J81" s="27">
        <v>38.906245680002208</v>
      </c>
      <c r="K81" s="27"/>
      <c r="L81" s="27">
        <v>18.850637772596354</v>
      </c>
      <c r="M81" s="27">
        <v>36.455811650386821</v>
      </c>
      <c r="N81" s="27"/>
      <c r="O81" s="27"/>
      <c r="P81" s="27">
        <v>59.227152543404237</v>
      </c>
      <c r="Q81" s="27"/>
      <c r="R81" s="27"/>
      <c r="S81" s="27">
        <v>37.883936789406036</v>
      </c>
    </row>
    <row r="82" spans="6:19">
      <c r="F82" s="25" t="s">
        <v>34</v>
      </c>
      <c r="G82" s="27">
        <v>62.034286072680672</v>
      </c>
      <c r="H82" s="27">
        <v>53.204173323566238</v>
      </c>
      <c r="I82" s="27">
        <v>69.732892650212676</v>
      </c>
      <c r="J82" s="27">
        <v>50.442775895890236</v>
      </c>
      <c r="K82" s="27">
        <v>32.106972674860472</v>
      </c>
      <c r="L82" s="27">
        <v>3.9966980469895068</v>
      </c>
      <c r="M82" s="27">
        <v>56.671967554829905</v>
      </c>
      <c r="N82" s="27"/>
      <c r="O82" s="27">
        <v>64.396805742141453</v>
      </c>
      <c r="P82" s="27">
        <v>33.156373081648276</v>
      </c>
      <c r="Q82" s="27">
        <v>46.678788966309341</v>
      </c>
      <c r="R82" s="27">
        <v>56.438410321180342</v>
      </c>
      <c r="S82" s="27">
        <v>47.450083365319657</v>
      </c>
    </row>
    <row r="83" spans="6:19">
      <c r="F83" s="26" t="s">
        <v>43</v>
      </c>
      <c r="G83" s="27"/>
      <c r="H83" s="27"/>
      <c r="I83" s="27"/>
      <c r="J83" s="27">
        <v>61.769489529635429</v>
      </c>
      <c r="K83" s="27">
        <v>84.80792453786195</v>
      </c>
      <c r="L83" s="27">
        <v>2.9033954429797291</v>
      </c>
      <c r="M83" s="27"/>
      <c r="N83" s="27"/>
      <c r="O83" s="27"/>
      <c r="P83" s="27"/>
      <c r="Q83" s="27">
        <v>41.338835448196868</v>
      </c>
      <c r="R83" s="27"/>
      <c r="S83" s="27">
        <v>47.075705104112501</v>
      </c>
    </row>
    <row r="84" spans="6:19">
      <c r="F84" s="26" t="s">
        <v>35</v>
      </c>
      <c r="G84" s="27">
        <v>49.192425327781805</v>
      </c>
      <c r="H84" s="27">
        <v>61.314823748452952</v>
      </c>
      <c r="I84" s="27"/>
      <c r="J84" s="27">
        <v>48.595175354888539</v>
      </c>
      <c r="K84" s="27">
        <v>9.6792407084083241</v>
      </c>
      <c r="L84" s="27"/>
      <c r="M84" s="27">
        <v>36.300589975273553</v>
      </c>
      <c r="N84" s="27"/>
      <c r="O84" s="27">
        <v>64.396805742141453</v>
      </c>
      <c r="P84" s="27"/>
      <c r="Q84" s="27">
        <v>53.798726990459308</v>
      </c>
      <c r="R84" s="27">
        <v>73.041548440909466</v>
      </c>
      <c r="S84" s="27">
        <v>48.291707517156176</v>
      </c>
    </row>
    <row r="85" spans="6:19">
      <c r="F85" s="26" t="s">
        <v>49</v>
      </c>
      <c r="G85" s="27">
        <v>78.794224458380086</v>
      </c>
      <c r="H85" s="27">
        <v>45.093522898679531</v>
      </c>
      <c r="I85" s="27">
        <v>56.159995863364628</v>
      </c>
      <c r="J85" s="27"/>
      <c r="K85" s="27">
        <v>28.184228709811894</v>
      </c>
      <c r="L85" s="27"/>
      <c r="M85" s="27">
        <v>79.843171233618548</v>
      </c>
      <c r="N85" s="27"/>
      <c r="O85" s="27"/>
      <c r="P85" s="27">
        <v>33.156373081648276</v>
      </c>
      <c r="Q85" s="27"/>
      <c r="R85" s="27">
        <v>39.835272201451218</v>
      </c>
      <c r="S85" s="27">
        <v>45.556376332006266</v>
      </c>
    </row>
    <row r="86" spans="6:19">
      <c r="F86" s="26" t="s">
        <v>56</v>
      </c>
      <c r="G86" s="27">
        <v>70.958069176778977</v>
      </c>
      <c r="H86" s="27"/>
      <c r="I86" s="27">
        <v>83.305789437060739</v>
      </c>
      <c r="J86" s="27">
        <v>33.332150251404912</v>
      </c>
      <c r="K86" s="27"/>
      <c r="L86" s="27">
        <v>5.0900006509992846</v>
      </c>
      <c r="M86" s="27">
        <v>53.872141455597621</v>
      </c>
      <c r="N86" s="27"/>
      <c r="O86" s="27"/>
      <c r="P86" s="27"/>
      <c r="Q86" s="27"/>
      <c r="R86" s="27"/>
      <c r="S86" s="27">
        <v>49.311630194368306</v>
      </c>
    </row>
    <row r="87" spans="6:19">
      <c r="F87" s="25" t="s">
        <v>19</v>
      </c>
      <c r="G87" s="27">
        <v>21.347815678441862</v>
      </c>
      <c r="H87" s="27">
        <v>51.305861780430391</v>
      </c>
      <c r="I87" s="27">
        <v>29.494660587960585</v>
      </c>
      <c r="J87" s="27">
        <v>22.48393151832845</v>
      </c>
      <c r="K87" s="27">
        <v>74.398846410899765</v>
      </c>
      <c r="L87" s="27">
        <v>48.981932229696106</v>
      </c>
      <c r="M87" s="27">
        <v>62.529915073233923</v>
      </c>
      <c r="N87" s="27">
        <v>55.713417185647657</v>
      </c>
      <c r="O87" s="27">
        <v>46.006610181268165</v>
      </c>
      <c r="P87" s="27">
        <v>48.071365516018624</v>
      </c>
      <c r="Q87" s="27">
        <v>51.678671784176608</v>
      </c>
      <c r="R87" s="27"/>
      <c r="S87" s="27">
        <v>45.870479731521165</v>
      </c>
    </row>
    <row r="88" spans="6:19">
      <c r="F88" s="26" t="s">
        <v>32</v>
      </c>
      <c r="G88" s="27">
        <v>8.7726926050254477</v>
      </c>
      <c r="H88" s="27">
        <v>41.992936105485342</v>
      </c>
      <c r="I88" s="27">
        <v>28.806980700251643</v>
      </c>
      <c r="J88" s="27">
        <v>12.508341884512438</v>
      </c>
      <c r="K88" s="27"/>
      <c r="L88" s="27">
        <v>52.625237186740506</v>
      </c>
      <c r="M88" s="27">
        <v>64.560436225083151</v>
      </c>
      <c r="N88" s="27">
        <v>46.106304079110011</v>
      </c>
      <c r="O88" s="27">
        <v>32.205133420475491</v>
      </c>
      <c r="P88" s="27">
        <v>15.867216282469537</v>
      </c>
      <c r="Q88" s="27"/>
      <c r="R88" s="27"/>
      <c r="S88" s="27">
        <v>37.056075703177683</v>
      </c>
    </row>
    <row r="89" spans="6:19">
      <c r="F89" s="26" t="s">
        <v>41</v>
      </c>
      <c r="G89" s="27">
        <v>24.491596446795967</v>
      </c>
      <c r="H89" s="27"/>
      <c r="I89" s="27">
        <v>30.18234047566952</v>
      </c>
      <c r="J89" s="27">
        <v>1.9619703606864456</v>
      </c>
      <c r="K89" s="27">
        <v>75.536676897884647</v>
      </c>
      <c r="L89" s="27">
        <v>50.361762207795088</v>
      </c>
      <c r="M89" s="27">
        <v>62.62480426351997</v>
      </c>
      <c r="N89" s="27">
        <v>78.330008831030895</v>
      </c>
      <c r="O89" s="27">
        <v>66.365779745547869</v>
      </c>
      <c r="P89" s="27">
        <v>54.549643186250343</v>
      </c>
      <c r="Q89" s="27">
        <v>51.678671784176608</v>
      </c>
      <c r="R89" s="27"/>
      <c r="S89" s="27">
        <v>48.160691621438183</v>
      </c>
    </row>
    <row r="90" spans="6:19">
      <c r="F90" s="26" t="s">
        <v>52</v>
      </c>
      <c r="G90" s="27"/>
      <c r="H90" s="27">
        <v>54.861902254559382</v>
      </c>
      <c r="I90" s="27"/>
      <c r="J90" s="27"/>
      <c r="K90" s="27"/>
      <c r="L90" s="27">
        <v>29.186638547979982</v>
      </c>
      <c r="M90" s="27"/>
      <c r="N90" s="27">
        <v>27.170126668723398</v>
      </c>
      <c r="O90" s="27">
        <v>46.692701335086767</v>
      </c>
      <c r="P90" s="27">
        <v>73.797237079335972</v>
      </c>
      <c r="Q90" s="27"/>
      <c r="R90" s="27"/>
      <c r="S90" s="27">
        <v>43.482540738944245</v>
      </c>
    </row>
    <row r="91" spans="6:19">
      <c r="F91" s="26" t="s">
        <v>20</v>
      </c>
      <c r="G91" s="27"/>
      <c r="H91" s="27">
        <v>66.375672656191497</v>
      </c>
      <c r="I91" s="27"/>
      <c r="J91" s="27">
        <v>37.732706914057459</v>
      </c>
      <c r="K91" s="27">
        <v>72.123185436930001</v>
      </c>
      <c r="L91" s="27">
        <v>64.444005965318354</v>
      </c>
      <c r="M91" s="27">
        <v>58.184205198677319</v>
      </c>
      <c r="N91" s="27">
        <v>71.247229163726317</v>
      </c>
      <c r="O91" s="27"/>
      <c r="P91" s="27"/>
      <c r="Q91" s="27"/>
      <c r="R91" s="27"/>
      <c r="S91" s="27">
        <v>59.0354647767846</v>
      </c>
    </row>
    <row r="92" spans="6:19">
      <c r="F92" s="25" t="s">
        <v>67</v>
      </c>
      <c r="G92" s="27">
        <v>42.081219097080748</v>
      </c>
      <c r="H92" s="27">
        <v>42.577594904457925</v>
      </c>
      <c r="I92" s="27">
        <v>39.894892884408605</v>
      </c>
      <c r="J92" s="27">
        <v>45.828852217056102</v>
      </c>
      <c r="K92" s="27">
        <v>43.985104270220369</v>
      </c>
      <c r="L92" s="27">
        <v>37.656708182248089</v>
      </c>
      <c r="M92" s="27">
        <v>49.01061593846768</v>
      </c>
      <c r="N92" s="27">
        <v>49.629082738079028</v>
      </c>
      <c r="O92" s="27">
        <v>49.284463876455192</v>
      </c>
      <c r="P92" s="27">
        <v>46.899039080604517</v>
      </c>
      <c r="Q92" s="27">
        <v>50.874701282119979</v>
      </c>
      <c r="R92" s="27">
        <v>46.250654558180464</v>
      </c>
      <c r="S92" s="27">
        <v>44.91745958263391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E1D1-934A-4ACF-AA06-79302F74DCBF}">
  <sheetPr>
    <tabColor theme="6" tint="0.39997558519241921"/>
  </sheetPr>
  <dimension ref="A3:AR92"/>
  <sheetViews>
    <sheetView workbookViewId="0">
      <selection activeCell="C7" sqref="C7"/>
    </sheetView>
  </sheetViews>
  <sheetFormatPr defaultRowHeight="12.75"/>
  <cols>
    <col min="1" max="1" width="11.85546875" bestFit="1" customWidth="1"/>
    <col min="2" max="2" width="13.140625" bestFit="1" customWidth="1"/>
    <col min="3" max="3" width="12.85546875" bestFit="1" customWidth="1"/>
    <col min="4" max="4" width="26.85546875" bestFit="1" customWidth="1"/>
    <col min="5" max="5" width="11.85546875" bestFit="1" customWidth="1"/>
    <col min="6" max="6" width="26.85546875" bestFit="1" customWidth="1"/>
    <col min="7" max="7" width="8.85546875" bestFit="1" customWidth="1"/>
    <col min="8" max="18" width="6.7109375" bestFit="1" customWidth="1"/>
    <col min="19" max="19" width="11.7109375" bestFit="1" customWidth="1"/>
    <col min="20" max="20" width="11" customWidth="1"/>
    <col min="21" max="21" width="26.85546875" bestFit="1" customWidth="1"/>
    <col min="22" max="22" width="9.85546875" bestFit="1" customWidth="1"/>
    <col min="23" max="23" width="7.42578125" bestFit="1" customWidth="1"/>
    <col min="24" max="24" width="7" bestFit="1" customWidth="1"/>
    <col min="25" max="25" width="9.5703125" bestFit="1" customWidth="1"/>
    <col min="26" max="26" width="13.28515625" bestFit="1" customWidth="1"/>
    <col min="27" max="27" width="6.7109375" bestFit="1" customWidth="1"/>
    <col min="28" max="28" width="11.7109375" bestFit="1" customWidth="1"/>
    <col min="29" max="30" width="11.85546875" bestFit="1" customWidth="1"/>
    <col min="31" max="31" width="14.28515625" bestFit="1" customWidth="1"/>
    <col min="32" max="32" width="8.85546875" bestFit="1" customWidth="1"/>
    <col min="33" max="34" width="4.42578125" bestFit="1" customWidth="1"/>
    <col min="35" max="35" width="4.140625" bestFit="1" customWidth="1"/>
    <col min="36" max="36" width="4.7109375" bestFit="1" customWidth="1"/>
    <col min="37" max="37" width="4.28515625" bestFit="1" customWidth="1"/>
    <col min="38" max="38" width="3.7109375" bestFit="1" customWidth="1"/>
    <col min="39" max="40" width="4.5703125" bestFit="1" customWidth="1"/>
    <col min="41" max="41" width="4" bestFit="1" customWidth="1"/>
    <col min="42" max="43" width="4.42578125" bestFit="1" customWidth="1"/>
    <col min="44" max="44" width="11.7109375" bestFit="1" customWidth="1"/>
  </cols>
  <sheetData>
    <row r="3" spans="1:44">
      <c r="A3" s="24" t="s">
        <v>4</v>
      </c>
      <c r="B3" t="s">
        <v>68</v>
      </c>
      <c r="C3" t="s">
        <v>69</v>
      </c>
      <c r="D3" t="s">
        <v>70</v>
      </c>
      <c r="F3" s="24" t="s">
        <v>68</v>
      </c>
      <c r="G3" s="24" t="s">
        <v>0</v>
      </c>
      <c r="U3" s="24" t="s">
        <v>68</v>
      </c>
      <c r="V3" s="24" t="s">
        <v>4</v>
      </c>
      <c r="AE3" s="24" t="s">
        <v>71</v>
      </c>
      <c r="AF3" s="24" t="s">
        <v>0</v>
      </c>
    </row>
    <row r="4" spans="1:44">
      <c r="A4" s="25" t="s">
        <v>11</v>
      </c>
      <c r="B4" s="6">
        <v>302292.71000000002</v>
      </c>
      <c r="C4" s="6">
        <v>141186.25999999998</v>
      </c>
      <c r="D4" s="27">
        <v>45.045301632287355</v>
      </c>
      <c r="F4" s="24" t="s">
        <v>4</v>
      </c>
      <c r="G4" t="s">
        <v>36</v>
      </c>
      <c r="H4" t="s">
        <v>25</v>
      </c>
      <c r="I4" t="s">
        <v>28</v>
      </c>
      <c r="J4" t="s">
        <v>39</v>
      </c>
      <c r="K4" t="s">
        <v>7</v>
      </c>
      <c r="L4" t="s">
        <v>17</v>
      </c>
      <c r="M4" t="s">
        <v>37</v>
      </c>
      <c r="N4" t="s">
        <v>40</v>
      </c>
      <c r="O4" t="s">
        <v>54</v>
      </c>
      <c r="P4" t="s">
        <v>51</v>
      </c>
      <c r="Q4" t="s">
        <v>12</v>
      </c>
      <c r="R4" t="s">
        <v>22</v>
      </c>
      <c r="S4" t="s">
        <v>67</v>
      </c>
      <c r="U4" s="24" t="s">
        <v>72</v>
      </c>
      <c r="V4" t="s">
        <v>11</v>
      </c>
      <c r="W4" t="s">
        <v>27</v>
      </c>
      <c r="X4" t="s">
        <v>33</v>
      </c>
      <c r="Y4" t="s">
        <v>21</v>
      </c>
      <c r="Z4" t="s">
        <v>47</v>
      </c>
      <c r="AA4" t="s">
        <v>16</v>
      </c>
      <c r="AB4" t="s">
        <v>67</v>
      </c>
      <c r="AE4" s="24" t="s">
        <v>4</v>
      </c>
      <c r="AF4" t="s">
        <v>36</v>
      </c>
      <c r="AG4" t="s">
        <v>25</v>
      </c>
      <c r="AH4" t="s">
        <v>28</v>
      </c>
      <c r="AI4" t="s">
        <v>39</v>
      </c>
      <c r="AJ4" t="s">
        <v>7</v>
      </c>
      <c r="AK4" t="s">
        <v>17</v>
      </c>
      <c r="AL4" t="s">
        <v>37</v>
      </c>
      <c r="AM4" t="s">
        <v>40</v>
      </c>
      <c r="AN4" t="s">
        <v>54</v>
      </c>
      <c r="AO4" t="s">
        <v>51</v>
      </c>
      <c r="AP4" t="s">
        <v>12</v>
      </c>
      <c r="AQ4" t="s">
        <v>22</v>
      </c>
      <c r="AR4" t="s">
        <v>67</v>
      </c>
    </row>
    <row r="5" spans="1:44">
      <c r="A5" s="25" t="s">
        <v>27</v>
      </c>
      <c r="B5" s="6">
        <v>124960.35</v>
      </c>
      <c r="C5" s="6">
        <v>62480.640000000014</v>
      </c>
      <c r="D5" s="27">
        <v>47.363039502938065</v>
      </c>
      <c r="F5" s="25" t="s">
        <v>11</v>
      </c>
      <c r="G5" s="6">
        <v>11757.48</v>
      </c>
      <c r="H5" s="6">
        <v>28969.13</v>
      </c>
      <c r="I5" s="6">
        <v>20492.11</v>
      </c>
      <c r="J5" s="6">
        <v>46641.75</v>
      </c>
      <c r="K5" s="6">
        <v>16508.810000000001</v>
      </c>
      <c r="L5" s="6">
        <v>46344.630000000005</v>
      </c>
      <c r="M5" s="6">
        <v>45350.46</v>
      </c>
      <c r="N5" s="6">
        <v>23741.02</v>
      </c>
      <c r="O5" s="6">
        <v>10886.369999999999</v>
      </c>
      <c r="P5" s="6">
        <v>21623.010000000002</v>
      </c>
      <c r="Q5" s="6">
        <v>21015.510000000002</v>
      </c>
      <c r="R5" s="6">
        <v>8962.43</v>
      </c>
      <c r="S5" s="6">
        <v>302292.70999999996</v>
      </c>
      <c r="U5" s="25" t="s">
        <v>14</v>
      </c>
      <c r="V5" s="6">
        <v>58152.46</v>
      </c>
      <c r="W5" s="6">
        <v>31283.839999999997</v>
      </c>
      <c r="X5" s="6">
        <v>20220.02</v>
      </c>
      <c r="Y5" s="6">
        <v>34177.74</v>
      </c>
      <c r="Z5" s="6">
        <v>9362.48</v>
      </c>
      <c r="AA5" s="6">
        <v>35034.869999999995</v>
      </c>
      <c r="AB5" s="6">
        <v>188231.41</v>
      </c>
      <c r="AE5" s="25" t="s">
        <v>11</v>
      </c>
      <c r="AF5" s="35">
        <v>2</v>
      </c>
      <c r="AG5" s="35">
        <v>6</v>
      </c>
      <c r="AH5" s="35">
        <v>4</v>
      </c>
      <c r="AI5" s="35">
        <v>9</v>
      </c>
      <c r="AJ5" s="35">
        <v>6</v>
      </c>
      <c r="AK5" s="35">
        <v>8</v>
      </c>
      <c r="AL5" s="35">
        <v>10</v>
      </c>
      <c r="AM5" s="35">
        <v>6</v>
      </c>
      <c r="AN5" s="35">
        <v>2</v>
      </c>
      <c r="AO5" s="35">
        <v>3</v>
      </c>
      <c r="AP5" s="35">
        <v>4</v>
      </c>
      <c r="AQ5" s="35">
        <v>2</v>
      </c>
      <c r="AR5" s="35">
        <v>62</v>
      </c>
    </row>
    <row r="6" spans="1:44">
      <c r="A6" s="25" t="s">
        <v>33</v>
      </c>
      <c r="B6" s="6">
        <v>123245.15000000001</v>
      </c>
      <c r="C6" s="6">
        <v>48498.619999999995</v>
      </c>
      <c r="D6" s="27">
        <v>42.461490247455785</v>
      </c>
      <c r="F6" s="25" t="s">
        <v>27</v>
      </c>
      <c r="G6" s="6">
        <v>12261.580000000002</v>
      </c>
      <c r="H6" s="6">
        <v>8721.92</v>
      </c>
      <c r="I6" s="6">
        <v>7270.49</v>
      </c>
      <c r="J6" s="6">
        <v>8465.58</v>
      </c>
      <c r="K6" s="6">
        <v>5433.21</v>
      </c>
      <c r="L6" s="6">
        <v>3645.5</v>
      </c>
      <c r="M6" s="6">
        <v>20602.650000000001</v>
      </c>
      <c r="N6" s="6">
        <v>4234.92</v>
      </c>
      <c r="O6" s="6">
        <v>15991.59</v>
      </c>
      <c r="P6" s="6">
        <v>15754.220000000001</v>
      </c>
      <c r="Q6" s="6">
        <v>7871.54</v>
      </c>
      <c r="R6" s="6">
        <v>14707.149999999998</v>
      </c>
      <c r="S6" s="6">
        <v>124960.34999999998</v>
      </c>
      <c r="U6" s="26" t="s">
        <v>26</v>
      </c>
      <c r="V6" s="6">
        <v>9441.15</v>
      </c>
      <c r="W6" s="6">
        <v>8721.92</v>
      </c>
      <c r="X6" s="6">
        <v>5313.49</v>
      </c>
      <c r="Y6" s="6">
        <v>11213.61</v>
      </c>
      <c r="Z6" s="6">
        <v>1814.66</v>
      </c>
      <c r="AA6" s="6">
        <v>7262.89</v>
      </c>
      <c r="AB6" s="6">
        <v>43767.72</v>
      </c>
      <c r="AE6" s="25" t="s">
        <v>27</v>
      </c>
      <c r="AF6" s="35">
        <v>3</v>
      </c>
      <c r="AG6" s="35">
        <v>1</v>
      </c>
      <c r="AH6" s="35">
        <v>2</v>
      </c>
      <c r="AI6" s="35">
        <v>1</v>
      </c>
      <c r="AJ6" s="35">
        <v>3</v>
      </c>
      <c r="AK6" s="35">
        <v>1</v>
      </c>
      <c r="AL6" s="35">
        <v>3</v>
      </c>
      <c r="AM6" s="35">
        <v>2</v>
      </c>
      <c r="AN6" s="35">
        <v>2</v>
      </c>
      <c r="AO6" s="35">
        <v>2</v>
      </c>
      <c r="AP6" s="35">
        <v>2</v>
      </c>
      <c r="AQ6" s="35">
        <v>3</v>
      </c>
      <c r="AR6" s="35">
        <v>25</v>
      </c>
    </row>
    <row r="7" spans="1:44">
      <c r="A7" s="25" t="s">
        <v>21</v>
      </c>
      <c r="B7" s="6">
        <v>172765.65000000002</v>
      </c>
      <c r="C7" s="6">
        <v>81223.89999999998</v>
      </c>
      <c r="D7" s="27">
        <v>44.649548737804949</v>
      </c>
      <c r="F7" s="25" t="s">
        <v>33</v>
      </c>
      <c r="G7" s="6">
        <v>28422.47</v>
      </c>
      <c r="H7" s="6">
        <v>28228.71</v>
      </c>
      <c r="I7" s="6">
        <v>5302.99</v>
      </c>
      <c r="J7" s="6">
        <v>5574.28</v>
      </c>
      <c r="K7" s="6">
        <v>5487.68</v>
      </c>
      <c r="L7" s="6">
        <v>6458.2</v>
      </c>
      <c r="M7" s="6">
        <v>15501.529999999999</v>
      </c>
      <c r="N7" s="6"/>
      <c r="O7" s="6">
        <v>16324.58</v>
      </c>
      <c r="P7" s="6">
        <v>6631.2199999999993</v>
      </c>
      <c r="Q7" s="6"/>
      <c r="R7" s="6">
        <v>5313.49</v>
      </c>
      <c r="S7" s="6">
        <v>123245.15000000001</v>
      </c>
      <c r="U7" s="26" t="s">
        <v>15</v>
      </c>
      <c r="V7" s="6">
        <v>23182.47</v>
      </c>
      <c r="W7" s="6">
        <v>21951.25</v>
      </c>
      <c r="X7" s="6"/>
      <c r="Y7" s="6">
        <v>10679.53</v>
      </c>
      <c r="Z7" s="6">
        <v>7547.82</v>
      </c>
      <c r="AA7" s="6">
        <v>16995.419999999998</v>
      </c>
      <c r="AB7" s="6">
        <v>80356.489999999991</v>
      </c>
      <c r="AE7" s="25" t="s">
        <v>33</v>
      </c>
      <c r="AF7" s="35">
        <v>6</v>
      </c>
      <c r="AG7" s="35">
        <v>4</v>
      </c>
      <c r="AH7" s="35">
        <v>1</v>
      </c>
      <c r="AI7" s="35">
        <v>1</v>
      </c>
      <c r="AJ7" s="35">
        <v>1</v>
      </c>
      <c r="AK7" s="35">
        <v>1</v>
      </c>
      <c r="AL7" s="35">
        <v>3</v>
      </c>
      <c r="AM7" s="35"/>
      <c r="AN7" s="35">
        <v>3</v>
      </c>
      <c r="AO7" s="35">
        <v>3</v>
      </c>
      <c r="AP7" s="35"/>
      <c r="AQ7" s="35">
        <v>1</v>
      </c>
      <c r="AR7" s="35">
        <v>24</v>
      </c>
    </row>
    <row r="8" spans="1:44">
      <c r="A8" s="25" t="s">
        <v>47</v>
      </c>
      <c r="B8" s="6">
        <v>129640.7</v>
      </c>
      <c r="C8" s="6">
        <v>54761.43</v>
      </c>
      <c r="D8" s="27">
        <v>44.211072298138696</v>
      </c>
      <c r="F8" s="25" t="s">
        <v>21</v>
      </c>
      <c r="G8" s="6">
        <v>25363.71</v>
      </c>
      <c r="H8" s="6">
        <v>7216.49</v>
      </c>
      <c r="I8" s="6">
        <v>14588.289999999999</v>
      </c>
      <c r="J8" s="6">
        <v>23260.720000000001</v>
      </c>
      <c r="K8" s="6">
        <v>14783.79</v>
      </c>
      <c r="L8" s="6">
        <v>22856.47</v>
      </c>
      <c r="M8" s="6"/>
      <c r="N8" s="6">
        <v>8374.67</v>
      </c>
      <c r="O8" s="6">
        <v>9792.36</v>
      </c>
      <c r="P8" s="6">
        <v>30504.520000000004</v>
      </c>
      <c r="Q8" s="6">
        <v>16024.630000000001</v>
      </c>
      <c r="R8" s="6"/>
      <c r="S8" s="6">
        <v>172765.65000000002</v>
      </c>
      <c r="U8" s="26" t="s">
        <v>45</v>
      </c>
      <c r="V8" s="6">
        <v>14815.349999999999</v>
      </c>
      <c r="W8" s="6">
        <v>610.66999999999996</v>
      </c>
      <c r="X8" s="6">
        <v>14906.53</v>
      </c>
      <c r="Y8" s="6">
        <v>11538.619999999999</v>
      </c>
      <c r="Z8" s="6"/>
      <c r="AA8" s="6"/>
      <c r="AB8" s="6">
        <v>41871.17</v>
      </c>
      <c r="AE8" s="25" t="s">
        <v>21</v>
      </c>
      <c r="AF8" s="35">
        <v>6</v>
      </c>
      <c r="AG8" s="35">
        <v>3</v>
      </c>
      <c r="AH8" s="35">
        <v>3</v>
      </c>
      <c r="AI8" s="35">
        <v>4</v>
      </c>
      <c r="AJ8" s="35">
        <v>3</v>
      </c>
      <c r="AK8" s="35">
        <v>4</v>
      </c>
      <c r="AL8" s="35"/>
      <c r="AM8" s="35">
        <v>2</v>
      </c>
      <c r="AN8" s="35">
        <v>2</v>
      </c>
      <c r="AO8" s="35">
        <v>7</v>
      </c>
      <c r="AP8" s="35">
        <v>3</v>
      </c>
      <c r="AQ8" s="35"/>
      <c r="AR8" s="35">
        <v>37</v>
      </c>
    </row>
    <row r="9" spans="1:44">
      <c r="A9" s="25" t="s">
        <v>16</v>
      </c>
      <c r="B9" s="6">
        <v>128235.65</v>
      </c>
      <c r="C9" s="6">
        <v>59869.790000000008</v>
      </c>
      <c r="D9" s="27">
        <v>45.7328389235795</v>
      </c>
      <c r="F9" s="25" t="s">
        <v>47</v>
      </c>
      <c r="G9" s="6">
        <v>13208.67</v>
      </c>
      <c r="H9" s="6">
        <v>18029.12</v>
      </c>
      <c r="I9" s="6">
        <v>7423.02</v>
      </c>
      <c r="J9" s="6">
        <v>13396.65</v>
      </c>
      <c r="K9" s="6">
        <v>7620.03</v>
      </c>
      <c r="L9" s="6">
        <v>31178.829999999998</v>
      </c>
      <c r="M9" s="6">
        <v>2308.25</v>
      </c>
      <c r="N9" s="6">
        <v>13053.52</v>
      </c>
      <c r="O9" s="6">
        <v>12567.16</v>
      </c>
      <c r="P9" s="6">
        <v>4865.1099999999997</v>
      </c>
      <c r="Q9" s="6">
        <v>2832.91</v>
      </c>
      <c r="R9" s="6">
        <v>3157.4300000000003</v>
      </c>
      <c r="S9" s="6">
        <v>129640.70000000001</v>
      </c>
      <c r="U9" s="26" t="s">
        <v>42</v>
      </c>
      <c r="V9" s="6">
        <v>10713.49</v>
      </c>
      <c r="W9" s="6"/>
      <c r="X9" s="6"/>
      <c r="Y9" s="6">
        <v>745.98</v>
      </c>
      <c r="Z9" s="6"/>
      <c r="AA9" s="6">
        <v>10776.56</v>
      </c>
      <c r="AB9" s="6">
        <v>22236.03</v>
      </c>
      <c r="AE9" s="25" t="s">
        <v>47</v>
      </c>
      <c r="AF9" s="35">
        <v>2</v>
      </c>
      <c r="AG9" s="35">
        <v>2</v>
      </c>
      <c r="AH9" s="35">
        <v>3</v>
      </c>
      <c r="AI9" s="35">
        <v>4</v>
      </c>
      <c r="AJ9" s="35">
        <v>2</v>
      </c>
      <c r="AK9" s="35">
        <v>6</v>
      </c>
      <c r="AL9" s="35">
        <v>1</v>
      </c>
      <c r="AM9" s="35">
        <v>2</v>
      </c>
      <c r="AN9" s="35">
        <v>2</v>
      </c>
      <c r="AO9" s="35">
        <v>1</v>
      </c>
      <c r="AP9" s="35">
        <v>1</v>
      </c>
      <c r="AQ9" s="35">
        <v>2</v>
      </c>
      <c r="AR9" s="35">
        <v>28</v>
      </c>
    </row>
    <row r="10" spans="1:44">
      <c r="A10" s="25" t="s">
        <v>67</v>
      </c>
      <c r="B10" s="6">
        <v>981140.21</v>
      </c>
      <c r="C10" s="6">
        <v>448020.63999999966</v>
      </c>
      <c r="D10" s="27">
        <v>44.917459582633889</v>
      </c>
      <c r="F10" s="25" t="s">
        <v>16</v>
      </c>
      <c r="G10" s="6">
        <v>22683.73</v>
      </c>
      <c r="H10" s="6">
        <v>6488.17</v>
      </c>
      <c r="I10" s="6">
        <v>14392.75</v>
      </c>
      <c r="J10" s="6">
        <v>20446.490000000002</v>
      </c>
      <c r="K10" s="6">
        <v>1372.49</v>
      </c>
      <c r="L10" s="6">
        <v>580.63</v>
      </c>
      <c r="M10" s="6">
        <v>10776.56</v>
      </c>
      <c r="N10" s="6">
        <v>13212.68</v>
      </c>
      <c r="O10" s="6"/>
      <c r="P10" s="6">
        <v>8291.9500000000007</v>
      </c>
      <c r="Q10" s="6">
        <v>16167.6</v>
      </c>
      <c r="R10" s="6">
        <v>13822.599999999999</v>
      </c>
      <c r="S10" s="6">
        <v>128235.65</v>
      </c>
      <c r="U10" s="25" t="s">
        <v>9</v>
      </c>
      <c r="V10" s="6">
        <v>53853.91</v>
      </c>
      <c r="W10" s="6">
        <v>29571.429999999997</v>
      </c>
      <c r="X10" s="6">
        <v>29051.89</v>
      </c>
      <c r="Y10" s="6">
        <v>43577.849999999991</v>
      </c>
      <c r="Z10" s="6">
        <v>32271.51</v>
      </c>
      <c r="AA10" s="6">
        <v>6964.16</v>
      </c>
      <c r="AB10" s="6">
        <v>195290.75</v>
      </c>
      <c r="AE10" s="25" t="s">
        <v>16</v>
      </c>
      <c r="AF10" s="35">
        <v>3</v>
      </c>
      <c r="AG10" s="35">
        <v>1</v>
      </c>
      <c r="AH10" s="35">
        <v>2</v>
      </c>
      <c r="AI10" s="35">
        <v>3</v>
      </c>
      <c r="AJ10" s="35">
        <v>1</v>
      </c>
      <c r="AK10" s="35">
        <v>1</v>
      </c>
      <c r="AL10" s="35">
        <v>2</v>
      </c>
      <c r="AM10" s="35">
        <v>2</v>
      </c>
      <c r="AN10" s="35"/>
      <c r="AO10" s="35">
        <v>1</v>
      </c>
      <c r="AP10" s="35">
        <v>4</v>
      </c>
      <c r="AQ10" s="35">
        <v>4</v>
      </c>
      <c r="AR10" s="35">
        <v>24</v>
      </c>
    </row>
    <row r="11" spans="1:44">
      <c r="F11" s="25" t="s">
        <v>67</v>
      </c>
      <c r="G11" s="6">
        <v>113697.63999999998</v>
      </c>
      <c r="H11" s="6">
        <v>97653.540000000008</v>
      </c>
      <c r="I11" s="6">
        <v>69469.649999999994</v>
      </c>
      <c r="J11" s="6">
        <v>117785.47</v>
      </c>
      <c r="K11" s="6">
        <v>51206.01</v>
      </c>
      <c r="L11" s="6">
        <v>111064.26000000001</v>
      </c>
      <c r="M11" s="6">
        <v>94539.45</v>
      </c>
      <c r="N11" s="6">
        <v>62616.810000000005</v>
      </c>
      <c r="O11" s="6">
        <v>65562.06</v>
      </c>
      <c r="P11" s="6">
        <v>87670.03</v>
      </c>
      <c r="Q11" s="6">
        <v>63912.19000000001</v>
      </c>
      <c r="R11" s="6">
        <v>45963.1</v>
      </c>
      <c r="S11" s="6">
        <v>981140.21000000008</v>
      </c>
      <c r="U11" s="26" t="s">
        <v>50</v>
      </c>
      <c r="V11" s="6">
        <v>17093.260000000002</v>
      </c>
      <c r="W11" s="6">
        <v>2235.4</v>
      </c>
      <c r="X11" s="6">
        <v>3788.46</v>
      </c>
      <c r="Y11" s="6">
        <v>11613.31</v>
      </c>
      <c r="Z11" s="6">
        <v>9072.49</v>
      </c>
      <c r="AA11" s="6"/>
      <c r="AB11" s="6">
        <v>43802.92</v>
      </c>
      <c r="AE11" s="25" t="s">
        <v>67</v>
      </c>
      <c r="AF11" s="35">
        <v>22</v>
      </c>
      <c r="AG11" s="35">
        <v>17</v>
      </c>
      <c r="AH11" s="35">
        <v>15</v>
      </c>
      <c r="AI11" s="35">
        <v>22</v>
      </c>
      <c r="AJ11" s="35">
        <v>16</v>
      </c>
      <c r="AK11" s="35">
        <v>21</v>
      </c>
      <c r="AL11" s="35">
        <v>19</v>
      </c>
      <c r="AM11" s="35">
        <v>14</v>
      </c>
      <c r="AN11" s="35">
        <v>11</v>
      </c>
      <c r="AO11" s="35">
        <v>17</v>
      </c>
      <c r="AP11" s="35">
        <v>14</v>
      </c>
      <c r="AQ11" s="35">
        <v>12</v>
      </c>
      <c r="AR11" s="35">
        <v>200</v>
      </c>
    </row>
    <row r="12" spans="1:44">
      <c r="U12" s="26" t="s">
        <v>46</v>
      </c>
      <c r="V12" s="6">
        <v>13132.919999999998</v>
      </c>
      <c r="W12" s="6">
        <v>6667.62</v>
      </c>
      <c r="X12" s="6">
        <v>8830.68</v>
      </c>
      <c r="Y12" s="6">
        <v>12604.65</v>
      </c>
      <c r="Z12" s="6">
        <v>10945.75</v>
      </c>
      <c r="AA12" s="6">
        <v>6786.68</v>
      </c>
      <c r="AB12" s="6">
        <v>58968.299999999996</v>
      </c>
    </row>
    <row r="13" spans="1:44">
      <c r="U13" s="26" t="s">
        <v>53</v>
      </c>
      <c r="V13" s="6">
        <v>9043.69</v>
      </c>
      <c r="W13" s="6">
        <v>17567.309999999998</v>
      </c>
      <c r="X13" s="6">
        <v>6458.2</v>
      </c>
      <c r="Y13" s="6">
        <v>14637.66</v>
      </c>
      <c r="Z13" s="6">
        <v>9839.82</v>
      </c>
      <c r="AA13" s="6">
        <v>177.48</v>
      </c>
      <c r="AB13" s="6">
        <v>57724.160000000003</v>
      </c>
    </row>
    <row r="14" spans="1:44">
      <c r="U14" s="26" t="s">
        <v>10</v>
      </c>
      <c r="V14" s="6">
        <v>14584.039999999999</v>
      </c>
      <c r="W14" s="6">
        <v>3101.1</v>
      </c>
      <c r="X14" s="6">
        <v>9974.5499999999993</v>
      </c>
      <c r="Y14" s="6">
        <v>4722.2299999999996</v>
      </c>
      <c r="Z14" s="6">
        <v>2413.4499999999998</v>
      </c>
      <c r="AA14" s="6"/>
      <c r="AB14" s="6">
        <v>34795.369999999995</v>
      </c>
    </row>
    <row r="15" spans="1:44">
      <c r="F15" s="24" t="s">
        <v>69</v>
      </c>
      <c r="G15" s="24" t="s">
        <v>0</v>
      </c>
      <c r="U15" s="25" t="s">
        <v>23</v>
      </c>
      <c r="V15" s="6">
        <v>70772.600000000006</v>
      </c>
      <c r="W15" s="6">
        <v>10892.34</v>
      </c>
      <c r="X15" s="6">
        <v>31055.53</v>
      </c>
      <c r="Y15" s="6">
        <v>17145.309999999998</v>
      </c>
      <c r="Z15" s="6">
        <v>18028.439999999999</v>
      </c>
      <c r="AA15" s="6">
        <v>22312.36</v>
      </c>
      <c r="AB15" s="6">
        <v>170206.58000000002</v>
      </c>
    </row>
    <row r="16" spans="1:44">
      <c r="F16" s="24" t="s">
        <v>4</v>
      </c>
      <c r="G16" t="s">
        <v>36</v>
      </c>
      <c r="H16" t="s">
        <v>25</v>
      </c>
      <c r="I16" t="s">
        <v>28</v>
      </c>
      <c r="J16" t="s">
        <v>39</v>
      </c>
      <c r="K16" t="s">
        <v>7</v>
      </c>
      <c r="L16" t="s">
        <v>17</v>
      </c>
      <c r="M16" t="s">
        <v>37</v>
      </c>
      <c r="N16" t="s">
        <v>40</v>
      </c>
      <c r="O16" t="s">
        <v>54</v>
      </c>
      <c r="P16" t="s">
        <v>51</v>
      </c>
      <c r="Q16" t="s">
        <v>12</v>
      </c>
      <c r="R16" t="s">
        <v>22</v>
      </c>
      <c r="S16" t="s">
        <v>67</v>
      </c>
      <c r="U16" s="26" t="s">
        <v>55</v>
      </c>
      <c r="V16" s="6">
        <v>14708.41</v>
      </c>
      <c r="W16" s="6">
        <v>7246.84</v>
      </c>
      <c r="X16" s="6"/>
      <c r="Y16" s="6">
        <v>3711.91</v>
      </c>
      <c r="Z16" s="6"/>
      <c r="AA16" s="6">
        <v>6252.79</v>
      </c>
      <c r="AB16" s="6">
        <v>31919.95</v>
      </c>
    </row>
    <row r="17" spans="6:28">
      <c r="F17" s="25" t="s">
        <v>11</v>
      </c>
      <c r="G17" s="6">
        <v>1404.4</v>
      </c>
      <c r="H17" s="6">
        <v>14772.920000000002</v>
      </c>
      <c r="I17" s="6">
        <v>8901.86</v>
      </c>
      <c r="J17" s="6">
        <v>25670.16</v>
      </c>
      <c r="K17" s="6">
        <v>8221.25</v>
      </c>
      <c r="L17" s="6">
        <v>21698.489999999994</v>
      </c>
      <c r="M17" s="6">
        <v>23323.229999999996</v>
      </c>
      <c r="N17" s="6">
        <v>12444.599999999999</v>
      </c>
      <c r="O17" s="6">
        <v>1663.94</v>
      </c>
      <c r="P17" s="6">
        <v>10223.039999999999</v>
      </c>
      <c r="Q17" s="6">
        <v>11193.32</v>
      </c>
      <c r="R17" s="6">
        <v>1669.0500000000002</v>
      </c>
      <c r="S17" s="6">
        <v>141186.25999999995</v>
      </c>
      <c r="U17" s="26" t="s">
        <v>30</v>
      </c>
      <c r="V17" s="6">
        <v>17664.400000000001</v>
      </c>
      <c r="W17" s="6"/>
      <c r="X17" s="6">
        <v>5487.68</v>
      </c>
      <c r="Y17" s="6"/>
      <c r="Z17" s="6">
        <v>2832.91</v>
      </c>
      <c r="AA17" s="6">
        <v>5329.19</v>
      </c>
      <c r="AB17" s="6">
        <v>31314.18</v>
      </c>
    </row>
    <row r="18" spans="6:28">
      <c r="F18" s="25" t="s">
        <v>27</v>
      </c>
      <c r="G18" s="6">
        <v>7523.33</v>
      </c>
      <c r="H18" s="6">
        <v>2873.34</v>
      </c>
      <c r="I18" s="6">
        <v>2853.69</v>
      </c>
      <c r="J18" s="6">
        <v>5340.76</v>
      </c>
      <c r="K18" s="6">
        <v>4441.46</v>
      </c>
      <c r="L18" s="6">
        <v>687.2</v>
      </c>
      <c r="M18" s="6">
        <v>10412.73</v>
      </c>
      <c r="N18" s="6">
        <v>1653.03</v>
      </c>
      <c r="O18" s="6">
        <v>10424.24</v>
      </c>
      <c r="P18" s="6">
        <v>1936.2599999999998</v>
      </c>
      <c r="Q18" s="6">
        <v>5901.17</v>
      </c>
      <c r="R18" s="6">
        <v>8433.43</v>
      </c>
      <c r="S18" s="6">
        <v>62480.639999999999</v>
      </c>
      <c r="T18" s="27"/>
      <c r="U18" s="26" t="s">
        <v>24</v>
      </c>
      <c r="V18" s="6">
        <v>7315.72</v>
      </c>
      <c r="W18" s="6"/>
      <c r="X18" s="6">
        <v>20819.77</v>
      </c>
      <c r="Y18" s="6">
        <v>8712.7999999999993</v>
      </c>
      <c r="Z18" s="6">
        <v>5826.46</v>
      </c>
      <c r="AA18" s="6">
        <v>10730.380000000001</v>
      </c>
      <c r="AB18" s="6">
        <v>53405.130000000005</v>
      </c>
    </row>
    <row r="19" spans="6:28">
      <c r="F19" s="25" t="s">
        <v>33</v>
      </c>
      <c r="G19" s="6">
        <v>11465.53</v>
      </c>
      <c r="H19" s="6">
        <v>9533.91</v>
      </c>
      <c r="I19" s="6">
        <v>3041.41</v>
      </c>
      <c r="J19" s="6">
        <v>697.25</v>
      </c>
      <c r="K19" s="6">
        <v>818.16</v>
      </c>
      <c r="L19" s="6">
        <v>585.11</v>
      </c>
      <c r="M19" s="6">
        <v>5064.75</v>
      </c>
      <c r="N19" s="6"/>
      <c r="O19" s="6">
        <v>11493.869999999999</v>
      </c>
      <c r="P19" s="6">
        <v>2480.5</v>
      </c>
      <c r="Q19" s="6"/>
      <c r="R19" s="6">
        <v>3318.13</v>
      </c>
      <c r="S19" s="6">
        <v>48498.62</v>
      </c>
      <c r="T19" s="27"/>
      <c r="U19" s="26" t="s">
        <v>44</v>
      </c>
      <c r="V19" s="6">
        <v>31084.07</v>
      </c>
      <c r="W19" s="6">
        <v>3645.5</v>
      </c>
      <c r="X19" s="6">
        <v>4748.08</v>
      </c>
      <c r="Y19" s="6">
        <v>4720.6000000000004</v>
      </c>
      <c r="Z19" s="6">
        <v>9369.07</v>
      </c>
      <c r="AA19" s="6"/>
      <c r="AB19" s="6">
        <v>53567.32</v>
      </c>
    </row>
    <row r="20" spans="6:28">
      <c r="F20" s="25" t="s">
        <v>21</v>
      </c>
      <c r="G20" s="6">
        <v>13646.5</v>
      </c>
      <c r="H20" s="6">
        <v>4585.4400000000005</v>
      </c>
      <c r="I20" s="6">
        <v>3068.0299999999997</v>
      </c>
      <c r="J20" s="6">
        <v>11589.95</v>
      </c>
      <c r="K20" s="6">
        <v>7410.41</v>
      </c>
      <c r="L20" s="6">
        <v>8418.14</v>
      </c>
      <c r="M20" s="6"/>
      <c r="N20" s="6">
        <v>6738.18</v>
      </c>
      <c r="O20" s="6">
        <v>3178.61</v>
      </c>
      <c r="P20" s="6">
        <v>14525.64</v>
      </c>
      <c r="Q20" s="6">
        <v>8063</v>
      </c>
      <c r="R20" s="6"/>
      <c r="S20" s="6">
        <v>81223.899999999994</v>
      </c>
      <c r="T20" s="27"/>
      <c r="U20" s="25" t="s">
        <v>34</v>
      </c>
      <c r="V20" s="6">
        <v>67486.679999999993</v>
      </c>
      <c r="W20" s="6">
        <v>22839.390000000003</v>
      </c>
      <c r="X20" s="6">
        <v>9092.65</v>
      </c>
      <c r="Y20" s="6">
        <v>30316.560000000001</v>
      </c>
      <c r="Z20" s="6">
        <v>29363.71</v>
      </c>
      <c r="AA20" s="6">
        <v>30874.75</v>
      </c>
      <c r="AB20" s="6">
        <v>189973.74</v>
      </c>
    </row>
    <row r="21" spans="6:28">
      <c r="F21" s="25" t="s">
        <v>47</v>
      </c>
      <c r="G21" s="6">
        <v>997.92</v>
      </c>
      <c r="H21" s="6">
        <v>4340.34</v>
      </c>
      <c r="I21" s="6">
        <v>3571.36</v>
      </c>
      <c r="J21" s="6">
        <v>5699.9299999999994</v>
      </c>
      <c r="K21" s="6">
        <v>2500.1</v>
      </c>
      <c r="L21" s="6">
        <v>12916.52</v>
      </c>
      <c r="M21" s="6">
        <v>1842.98</v>
      </c>
      <c r="N21" s="6">
        <v>9450.01</v>
      </c>
      <c r="O21" s="6">
        <v>5452.85</v>
      </c>
      <c r="P21" s="6">
        <v>3032.02</v>
      </c>
      <c r="Q21" s="6">
        <v>2464.64</v>
      </c>
      <c r="R21" s="6">
        <v>2492.7600000000002</v>
      </c>
      <c r="S21" s="6">
        <v>54761.429999999993</v>
      </c>
      <c r="T21" s="27"/>
      <c r="U21" s="26" t="s">
        <v>43</v>
      </c>
      <c r="V21" s="6">
        <v>19005.760000000002</v>
      </c>
      <c r="W21" s="6">
        <v>8095.63</v>
      </c>
      <c r="X21" s="6"/>
      <c r="Y21" s="6">
        <v>9978.51</v>
      </c>
      <c r="Z21" s="6"/>
      <c r="AA21" s="6">
        <v>4806.49</v>
      </c>
      <c r="AB21" s="6">
        <v>41886.39</v>
      </c>
    </row>
    <row r="22" spans="6:28">
      <c r="F22" s="25" t="s">
        <v>16</v>
      </c>
      <c r="G22" s="6">
        <v>11602.31</v>
      </c>
      <c r="H22" s="6">
        <v>3978.21</v>
      </c>
      <c r="I22" s="6">
        <v>7185.49</v>
      </c>
      <c r="J22" s="6">
        <v>8160.45</v>
      </c>
      <c r="K22" s="6">
        <v>683.4</v>
      </c>
      <c r="L22" s="6">
        <v>126.29</v>
      </c>
      <c r="M22" s="6">
        <v>5166.32</v>
      </c>
      <c r="N22" s="6">
        <v>3585.52</v>
      </c>
      <c r="O22" s="6"/>
      <c r="P22" s="6">
        <v>6119.23</v>
      </c>
      <c r="Q22" s="6">
        <v>8244.81</v>
      </c>
      <c r="R22" s="6">
        <v>5017.76</v>
      </c>
      <c r="S22" s="6">
        <v>59869.79</v>
      </c>
      <c r="T22" s="27"/>
      <c r="U22" s="26" t="s">
        <v>35</v>
      </c>
      <c r="V22" s="6">
        <v>42296.49</v>
      </c>
      <c r="W22" s="6"/>
      <c r="X22" s="6">
        <v>9092.65</v>
      </c>
      <c r="Y22" s="6">
        <v>9764.1200000000008</v>
      </c>
      <c r="Z22" s="6">
        <v>6402.4699999999993</v>
      </c>
      <c r="AA22" s="6">
        <v>18362.72</v>
      </c>
      <c r="AB22" s="6">
        <v>85918.45</v>
      </c>
    </row>
    <row r="23" spans="6:28">
      <c r="F23" s="25" t="s">
        <v>67</v>
      </c>
      <c r="G23" s="6">
        <v>46639.99</v>
      </c>
      <c r="H23" s="6">
        <v>40084.159999999996</v>
      </c>
      <c r="I23" s="6">
        <v>28621.840000000004</v>
      </c>
      <c r="J23" s="6">
        <v>57158.499999999993</v>
      </c>
      <c r="K23" s="6">
        <v>24074.78</v>
      </c>
      <c r="L23" s="6">
        <v>44431.749999999993</v>
      </c>
      <c r="M23" s="6">
        <v>45810.009999999995</v>
      </c>
      <c r="N23" s="6">
        <v>33871.339999999997</v>
      </c>
      <c r="O23" s="6">
        <v>32213.510000000002</v>
      </c>
      <c r="P23" s="6">
        <v>38316.69</v>
      </c>
      <c r="Q23" s="6">
        <v>35866.939999999995</v>
      </c>
      <c r="R23" s="6">
        <v>20931.13</v>
      </c>
      <c r="S23" s="6">
        <v>448020.6399999999</v>
      </c>
      <c r="T23" s="27"/>
      <c r="U23" s="26" t="s">
        <v>49</v>
      </c>
      <c r="V23" s="6">
        <v>3070.52</v>
      </c>
      <c r="W23" s="6">
        <v>14743.760000000002</v>
      </c>
      <c r="X23" s="6"/>
      <c r="Y23" s="6">
        <v>10573.93</v>
      </c>
      <c r="Z23" s="6">
        <v>16129.989999999998</v>
      </c>
      <c r="AA23" s="6">
        <v>1372.49</v>
      </c>
      <c r="AB23" s="6">
        <v>45890.689999999995</v>
      </c>
    </row>
    <row r="24" spans="6:28">
      <c r="T24" s="27"/>
      <c r="U24" s="26" t="s">
        <v>56</v>
      </c>
      <c r="V24" s="6">
        <v>3113.91</v>
      </c>
      <c r="W24" s="6"/>
      <c r="X24" s="6"/>
      <c r="Y24" s="6"/>
      <c r="Z24" s="6">
        <v>6831.25</v>
      </c>
      <c r="AA24" s="6">
        <v>6333.05</v>
      </c>
      <c r="AB24" s="6">
        <v>16278.21</v>
      </c>
    </row>
    <row r="25" spans="6:28">
      <c r="U25" s="25" t="s">
        <v>19</v>
      </c>
      <c r="V25" s="6">
        <v>52027.06</v>
      </c>
      <c r="W25" s="6">
        <v>30373.350000000002</v>
      </c>
      <c r="X25" s="6">
        <v>33825.06</v>
      </c>
      <c r="Y25" s="6">
        <v>47548.19</v>
      </c>
      <c r="Z25" s="6">
        <v>40614.559999999998</v>
      </c>
      <c r="AA25" s="6">
        <v>33049.51</v>
      </c>
      <c r="AB25" s="6">
        <v>237437.72999999998</v>
      </c>
    </row>
    <row r="26" spans="6:28">
      <c r="U26" s="26" t="s">
        <v>32</v>
      </c>
      <c r="V26" s="6">
        <v>15545.37</v>
      </c>
      <c r="W26" s="6">
        <v>9863.86</v>
      </c>
      <c r="X26" s="6">
        <v>17752.219999999998</v>
      </c>
      <c r="Y26" s="6">
        <v>17669.150000000001</v>
      </c>
      <c r="Z26" s="6">
        <v>9636.9500000000007</v>
      </c>
      <c r="AA26" s="6">
        <v>10104.15</v>
      </c>
      <c r="AB26" s="6">
        <v>80571.7</v>
      </c>
    </row>
    <row r="27" spans="6:28">
      <c r="F27" s="24" t="s">
        <v>70</v>
      </c>
      <c r="G27" s="24" t="s">
        <v>0</v>
      </c>
      <c r="U27" s="26" t="s">
        <v>41</v>
      </c>
      <c r="V27" s="6">
        <v>19429.349999999999</v>
      </c>
      <c r="W27" s="6">
        <v>11764.740000000002</v>
      </c>
      <c r="X27" s="6">
        <v>16072.84</v>
      </c>
      <c r="Y27" s="6">
        <v>15844.669999999998</v>
      </c>
      <c r="Z27" s="6">
        <v>6312.66</v>
      </c>
      <c r="AA27" s="6">
        <v>7246.39</v>
      </c>
      <c r="AB27" s="6">
        <v>76670.649999999994</v>
      </c>
    </row>
    <row r="28" spans="6:28">
      <c r="F28" s="24" t="s">
        <v>4</v>
      </c>
      <c r="G28" t="s">
        <v>36</v>
      </c>
      <c r="H28" t="s">
        <v>25</v>
      </c>
      <c r="I28" t="s">
        <v>28</v>
      </c>
      <c r="J28" t="s">
        <v>39</v>
      </c>
      <c r="K28" t="s">
        <v>7</v>
      </c>
      <c r="L28" t="s">
        <v>17</v>
      </c>
      <c r="M28" t="s">
        <v>37</v>
      </c>
      <c r="N28" t="s">
        <v>40</v>
      </c>
      <c r="O28" t="s">
        <v>54</v>
      </c>
      <c r="P28" t="s">
        <v>51</v>
      </c>
      <c r="Q28" t="s">
        <v>12</v>
      </c>
      <c r="R28" t="s">
        <v>22</v>
      </c>
      <c r="S28" t="s">
        <v>67</v>
      </c>
      <c r="U28" s="26" t="s">
        <v>52</v>
      </c>
      <c r="V28" s="6">
        <v>3338.63</v>
      </c>
      <c r="W28" s="6">
        <v>8744.75</v>
      </c>
      <c r="X28" s="6"/>
      <c r="Y28" s="6">
        <v>2089.1</v>
      </c>
      <c r="Z28" s="6">
        <v>12262.91</v>
      </c>
      <c r="AA28" s="6">
        <v>8291.9500000000007</v>
      </c>
      <c r="AB28" s="6">
        <v>34727.339999999997</v>
      </c>
    </row>
    <row r="29" spans="6:28">
      <c r="F29" s="25" t="s">
        <v>27</v>
      </c>
      <c r="G29" s="27">
        <v>57.289331847553534</v>
      </c>
      <c r="H29" s="27">
        <v>32.943893087760493</v>
      </c>
      <c r="I29" s="27">
        <v>39.93820767464954</v>
      </c>
      <c r="J29" s="27">
        <v>63.087939633197024</v>
      </c>
      <c r="K29" s="27">
        <v>68.221404425604717</v>
      </c>
      <c r="L29" s="27">
        <v>18.850637772596354</v>
      </c>
      <c r="M29" s="27">
        <v>50.02373501763163</v>
      </c>
      <c r="N29" s="27">
        <v>38.75837904416376</v>
      </c>
      <c r="O29" s="27">
        <v>67.097006125646502</v>
      </c>
      <c r="P29" s="27">
        <v>11.084009814477151</v>
      </c>
      <c r="Q29" s="27">
        <v>47.940261107734642</v>
      </c>
      <c r="R29" s="27">
        <v>44.318125224728284</v>
      </c>
      <c r="S29" s="27">
        <v>47.363039502938044</v>
      </c>
      <c r="U29" s="26" t="s">
        <v>20</v>
      </c>
      <c r="V29" s="6">
        <v>13713.71</v>
      </c>
      <c r="W29" s="6"/>
      <c r="X29" s="6"/>
      <c r="Y29" s="6">
        <v>11945.27</v>
      </c>
      <c r="Z29" s="6">
        <v>12402.04</v>
      </c>
      <c r="AA29" s="6">
        <v>7407.02</v>
      </c>
      <c r="AB29" s="6">
        <v>45468.040000000008</v>
      </c>
    </row>
    <row r="30" spans="6:28">
      <c r="F30" s="25" t="s">
        <v>16</v>
      </c>
      <c r="G30" s="27">
        <v>52.275374073303972</v>
      </c>
      <c r="H30" s="27">
        <v>61.314823748452952</v>
      </c>
      <c r="I30" s="27">
        <v>57.384418096870746</v>
      </c>
      <c r="J30" s="27">
        <v>42.06855967114911</v>
      </c>
      <c r="K30" s="27">
        <v>49.79271251520958</v>
      </c>
      <c r="L30" s="27">
        <v>21.75051237448978</v>
      </c>
      <c r="M30" s="27">
        <v>49.176850565807641</v>
      </c>
      <c r="N30" s="27">
        <v>24.366645980591883</v>
      </c>
      <c r="O30" s="27"/>
      <c r="P30" s="27">
        <v>73.797237079335972</v>
      </c>
      <c r="Q30" s="27">
        <v>47.551033906877279</v>
      </c>
      <c r="R30" s="27">
        <v>38.960270575252757</v>
      </c>
      <c r="S30" s="27">
        <v>45.732838923579514</v>
      </c>
      <c r="U30" s="25" t="s">
        <v>67</v>
      </c>
      <c r="V30" s="6">
        <v>302292.71000000002</v>
      </c>
      <c r="W30" s="6">
        <v>124960.35</v>
      </c>
      <c r="X30" s="6">
        <v>123245.15</v>
      </c>
      <c r="Y30" s="6">
        <v>172765.64999999997</v>
      </c>
      <c r="Z30" s="6">
        <v>129640.69999999998</v>
      </c>
      <c r="AA30" s="6">
        <v>128235.65000000001</v>
      </c>
      <c r="AB30" s="6">
        <v>981140.20999999985</v>
      </c>
    </row>
    <row r="31" spans="6:28">
      <c r="F31" s="25" t="s">
        <v>11</v>
      </c>
      <c r="G31" s="27">
        <v>13.522203750979475</v>
      </c>
      <c r="H31" s="27">
        <v>48.929413024626236</v>
      </c>
      <c r="I31" s="27">
        <v>34.452105450043568</v>
      </c>
      <c r="J31" s="27">
        <v>53.022877406094409</v>
      </c>
      <c r="K31" s="27">
        <v>45.857105048560449</v>
      </c>
      <c r="L31" s="27">
        <v>45.809785499706869</v>
      </c>
      <c r="M31" s="27">
        <v>51.609853756943117</v>
      </c>
      <c r="N31" s="27">
        <v>44.032212272458118</v>
      </c>
      <c r="O31" s="27">
        <v>15.283172027560649</v>
      </c>
      <c r="P31" s="27">
        <v>54.156467225662631</v>
      </c>
      <c r="Q31" s="27">
        <v>48.705437351711311</v>
      </c>
      <c r="R31" s="27">
        <v>23.701638232462177</v>
      </c>
      <c r="S31" s="27">
        <v>45.045301632287348</v>
      </c>
    </row>
    <row r="32" spans="6:28">
      <c r="F32" s="25" t="s">
        <v>21</v>
      </c>
      <c r="G32" s="27">
        <v>42.528249168805466</v>
      </c>
      <c r="H32" s="27">
        <v>54.743393439501517</v>
      </c>
      <c r="I32" s="27">
        <v>24.027450403145053</v>
      </c>
      <c r="J32" s="27">
        <v>51.004074957014609</v>
      </c>
      <c r="K32" s="27">
        <v>26.450476986999394</v>
      </c>
      <c r="L32" s="27">
        <v>41.493424393983169</v>
      </c>
      <c r="M32" s="27"/>
      <c r="N32" s="27">
        <v>79.649699577001556</v>
      </c>
      <c r="O32" s="27">
        <v>37.905669498583478</v>
      </c>
      <c r="P32" s="27">
        <v>47.394284646706694</v>
      </c>
      <c r="Q32" s="27">
        <v>48.113039238301461</v>
      </c>
      <c r="R32" s="27"/>
      <c r="S32" s="27">
        <v>44.649548737804949</v>
      </c>
    </row>
    <row r="33" spans="6:28">
      <c r="F33" s="25" t="s">
        <v>47</v>
      </c>
      <c r="G33" s="27">
        <v>6.5211721007275898</v>
      </c>
      <c r="H33" s="27">
        <v>24.208267827412378</v>
      </c>
      <c r="I33" s="27">
        <v>45.511543325173896</v>
      </c>
      <c r="J33" s="27">
        <v>31.302647940292353</v>
      </c>
      <c r="K33" s="27">
        <v>39.950824341244186</v>
      </c>
      <c r="L33" s="27">
        <v>34.779630886728796</v>
      </c>
      <c r="M33" s="27">
        <v>79.843171233618548</v>
      </c>
      <c r="N33" s="27">
        <v>72.532217747421669</v>
      </c>
      <c r="O33" s="27">
        <v>47.767516979853269</v>
      </c>
      <c r="P33" s="27">
        <v>62.321715233571297</v>
      </c>
      <c r="Q33" s="27">
        <v>87.000292984951869</v>
      </c>
      <c r="R33" s="27">
        <v>78.180919922679948</v>
      </c>
      <c r="S33" s="27">
        <v>44.21107229813871</v>
      </c>
    </row>
    <row r="34" spans="6:28">
      <c r="F34" s="25" t="s">
        <v>33</v>
      </c>
      <c r="G34" s="27">
        <v>50.306075942826148</v>
      </c>
      <c r="H34" s="27">
        <v>30.834300604621138</v>
      </c>
      <c r="I34" s="27">
        <v>57.352738737957267</v>
      </c>
      <c r="J34" s="27">
        <v>12.508341884512438</v>
      </c>
      <c r="K34" s="27">
        <v>14.909032596652866</v>
      </c>
      <c r="L34" s="27">
        <v>9.0599547861633276</v>
      </c>
      <c r="M34" s="27">
        <v>28.945029281108688</v>
      </c>
      <c r="N34" s="27"/>
      <c r="O34" s="27">
        <v>68.674124459239792</v>
      </c>
      <c r="P34" s="27">
        <v>48.255766074826845</v>
      </c>
      <c r="Q34" s="27"/>
      <c r="R34" s="27">
        <v>62.447280412685458</v>
      </c>
      <c r="S34" s="27">
        <v>42.461490247455792</v>
      </c>
      <c r="U34" s="24" t="s">
        <v>69</v>
      </c>
      <c r="V34" s="24" t="s">
        <v>4</v>
      </c>
    </row>
    <row r="35" spans="6:28">
      <c r="F35" s="25" t="s">
        <v>67</v>
      </c>
      <c r="G35" s="27">
        <v>42.081219097080741</v>
      </c>
      <c r="H35" s="27">
        <v>42.577594904457925</v>
      </c>
      <c r="I35" s="27">
        <v>39.894892884408598</v>
      </c>
      <c r="J35" s="27">
        <v>45.828852217056109</v>
      </c>
      <c r="K35" s="27">
        <v>43.985104270220369</v>
      </c>
      <c r="L35" s="27">
        <v>37.656708182248089</v>
      </c>
      <c r="M35" s="27">
        <v>49.010615938467687</v>
      </c>
      <c r="N35" s="27">
        <v>49.629082738079042</v>
      </c>
      <c r="O35" s="27">
        <v>49.284463876455199</v>
      </c>
      <c r="P35" s="27">
        <v>46.899039080604531</v>
      </c>
      <c r="Q35" s="27">
        <v>50.874701282119986</v>
      </c>
      <c r="R35" s="27">
        <v>46.250654558180457</v>
      </c>
      <c r="S35" s="27">
        <v>44.917459582633903</v>
      </c>
      <c r="U35" s="24" t="s">
        <v>72</v>
      </c>
      <c r="V35" t="s">
        <v>11</v>
      </c>
      <c r="W35" t="s">
        <v>27</v>
      </c>
      <c r="X35" t="s">
        <v>33</v>
      </c>
      <c r="Y35" t="s">
        <v>21</v>
      </c>
      <c r="Z35" t="s">
        <v>47</v>
      </c>
      <c r="AA35" t="s">
        <v>16</v>
      </c>
      <c r="AB35" t="s">
        <v>67</v>
      </c>
    </row>
    <row r="36" spans="6:28">
      <c r="U36" s="25" t="s">
        <v>14</v>
      </c>
      <c r="V36" s="6">
        <v>24430.250000000004</v>
      </c>
      <c r="W36" s="6">
        <v>17288.870000000003</v>
      </c>
      <c r="X36" s="6">
        <v>9739.36</v>
      </c>
      <c r="Y36" s="6">
        <v>12871.440000000002</v>
      </c>
      <c r="Z36" s="6">
        <v>5362.1399999999994</v>
      </c>
      <c r="AA36" s="6">
        <v>19835.36</v>
      </c>
      <c r="AB36" s="6">
        <v>89527.42</v>
      </c>
    </row>
    <row r="37" spans="6:28">
      <c r="U37" s="26" t="s">
        <v>26</v>
      </c>
      <c r="V37" s="6">
        <v>2256</v>
      </c>
      <c r="W37" s="6">
        <v>2873.34</v>
      </c>
      <c r="X37" s="6">
        <v>3318.13</v>
      </c>
      <c r="Y37" s="6">
        <v>3664.06</v>
      </c>
      <c r="Z37" s="6">
        <v>1511.98</v>
      </c>
      <c r="AA37" s="6">
        <v>845.48</v>
      </c>
      <c r="AB37" s="6">
        <v>14468.99</v>
      </c>
    </row>
    <row r="38" spans="6:28">
      <c r="U38" s="26" t="s">
        <v>15</v>
      </c>
      <c r="V38" s="6">
        <v>8542.34</v>
      </c>
      <c r="W38" s="6">
        <v>14229.24</v>
      </c>
      <c r="X38" s="6"/>
      <c r="Y38" s="6">
        <v>6504.88</v>
      </c>
      <c r="Z38" s="6">
        <v>3850.16</v>
      </c>
      <c r="AA38" s="6">
        <v>13823.56</v>
      </c>
      <c r="AB38" s="6">
        <v>46950.18</v>
      </c>
    </row>
    <row r="39" spans="6:28">
      <c r="U39" s="26" t="s">
        <v>45</v>
      </c>
      <c r="V39" s="6">
        <v>8031.35</v>
      </c>
      <c r="W39" s="6">
        <v>186.29</v>
      </c>
      <c r="X39" s="6">
        <v>6421.2300000000005</v>
      </c>
      <c r="Y39" s="6">
        <v>2424.96</v>
      </c>
      <c r="Z39" s="6"/>
      <c r="AA39" s="6"/>
      <c r="AB39" s="6">
        <v>17063.830000000002</v>
      </c>
    </row>
    <row r="40" spans="6:28">
      <c r="U40" s="26" t="s">
        <v>42</v>
      </c>
      <c r="V40" s="6">
        <v>5600.56</v>
      </c>
      <c r="W40" s="6"/>
      <c r="X40" s="6"/>
      <c r="Y40" s="6">
        <v>277.54000000000002</v>
      </c>
      <c r="Z40" s="6"/>
      <c r="AA40" s="6">
        <v>5166.32</v>
      </c>
      <c r="AB40" s="6">
        <v>11044.42</v>
      </c>
    </row>
    <row r="41" spans="6:28">
      <c r="U41" s="25" t="s">
        <v>9</v>
      </c>
      <c r="V41" s="6">
        <v>20978.53</v>
      </c>
      <c r="W41" s="6">
        <v>12348.65</v>
      </c>
      <c r="X41" s="6">
        <v>13537.36</v>
      </c>
      <c r="Y41" s="6">
        <v>25763.649999999998</v>
      </c>
      <c r="Z41" s="6">
        <v>10549.019999999999</v>
      </c>
      <c r="AA41" s="6">
        <v>3366.27</v>
      </c>
      <c r="AB41" s="6">
        <v>86543.48000000001</v>
      </c>
    </row>
    <row r="42" spans="6:28">
      <c r="U42" s="26" t="s">
        <v>50</v>
      </c>
      <c r="V42" s="6">
        <v>3928.84</v>
      </c>
      <c r="W42" s="6">
        <v>976.75</v>
      </c>
      <c r="X42" s="6">
        <v>2068.9499999999998</v>
      </c>
      <c r="Y42" s="6">
        <v>7277.19</v>
      </c>
      <c r="Z42" s="6">
        <v>301.48</v>
      </c>
      <c r="AA42" s="6"/>
      <c r="AB42" s="6">
        <v>14553.21</v>
      </c>
    </row>
    <row r="43" spans="6:28">
      <c r="U43" s="26" t="s">
        <v>46</v>
      </c>
      <c r="V43" s="6">
        <v>8424.2799999999988</v>
      </c>
      <c r="W43" s="6">
        <v>1713.38</v>
      </c>
      <c r="X43" s="6">
        <v>4222.37</v>
      </c>
      <c r="Y43" s="6">
        <v>7269.26</v>
      </c>
      <c r="Z43" s="6">
        <v>6054.2999999999993</v>
      </c>
      <c r="AA43" s="6">
        <v>3240.54</v>
      </c>
      <c r="AB43" s="6">
        <v>30924.13</v>
      </c>
    </row>
    <row r="44" spans="6:28">
      <c r="U44" s="26" t="s">
        <v>53</v>
      </c>
      <c r="V44" s="6">
        <v>3005.39</v>
      </c>
      <c r="W44" s="6">
        <v>8595.44</v>
      </c>
      <c r="X44" s="6">
        <v>585.11</v>
      </c>
      <c r="Y44" s="6">
        <v>8563.58</v>
      </c>
      <c r="Z44" s="6">
        <v>3939.1</v>
      </c>
      <c r="AA44" s="6">
        <v>125.73</v>
      </c>
      <c r="AB44" s="6">
        <v>24814.35</v>
      </c>
    </row>
    <row r="45" spans="6:28">
      <c r="U45" s="26" t="s">
        <v>10</v>
      </c>
      <c r="V45" s="6">
        <v>5620.02</v>
      </c>
      <c r="W45" s="6">
        <v>1063.08</v>
      </c>
      <c r="X45" s="6">
        <v>6660.93</v>
      </c>
      <c r="Y45" s="6">
        <v>2653.62</v>
      </c>
      <c r="Z45" s="6">
        <v>254.14</v>
      </c>
      <c r="AA45" s="6"/>
      <c r="AB45" s="6">
        <v>16251.79</v>
      </c>
    </row>
    <row r="46" spans="6:28">
      <c r="U46" s="25" t="s">
        <v>23</v>
      </c>
      <c r="V46" s="6">
        <v>31511.96</v>
      </c>
      <c r="W46" s="6">
        <v>7028.28</v>
      </c>
      <c r="X46" s="6">
        <v>6638.0599999999995</v>
      </c>
      <c r="Y46" s="6">
        <v>9856.61</v>
      </c>
      <c r="Z46" s="6">
        <v>8592.41</v>
      </c>
      <c r="AA46" s="6">
        <v>9323.68</v>
      </c>
      <c r="AB46" s="6">
        <v>72951.000000000015</v>
      </c>
    </row>
    <row r="47" spans="6:28">
      <c r="U47" s="26" t="s">
        <v>55</v>
      </c>
      <c r="V47" s="6">
        <v>7710.52</v>
      </c>
      <c r="W47" s="6">
        <v>6341.08</v>
      </c>
      <c r="X47" s="6"/>
      <c r="Y47" s="6">
        <v>911.44</v>
      </c>
      <c r="Z47" s="6"/>
      <c r="AA47" s="6">
        <v>4829.1099999999997</v>
      </c>
      <c r="AB47" s="6">
        <v>19792.150000000001</v>
      </c>
    </row>
    <row r="48" spans="6:28">
      <c r="U48" s="26" t="s">
        <v>30</v>
      </c>
      <c r="V48" s="6">
        <v>6225.89</v>
      </c>
      <c r="W48" s="6"/>
      <c r="X48" s="6">
        <v>818.16</v>
      </c>
      <c r="Y48" s="6"/>
      <c r="Z48" s="6">
        <v>2464.64</v>
      </c>
      <c r="AA48" s="6">
        <v>709.28</v>
      </c>
      <c r="AB48" s="6">
        <v>10217.970000000001</v>
      </c>
    </row>
    <row r="49" spans="21:28">
      <c r="U49" s="26" t="s">
        <v>24</v>
      </c>
      <c r="V49" s="6">
        <v>2874.04</v>
      </c>
      <c r="W49" s="6"/>
      <c r="X49" s="6">
        <v>4426.74</v>
      </c>
      <c r="Y49" s="6">
        <v>5509.81</v>
      </c>
      <c r="Z49" s="6">
        <v>4300.93</v>
      </c>
      <c r="AA49" s="6">
        <v>3785.29</v>
      </c>
      <c r="AB49" s="6">
        <v>20896.810000000001</v>
      </c>
    </row>
    <row r="50" spans="21:28">
      <c r="U50" s="26" t="s">
        <v>44</v>
      </c>
      <c r="V50" s="6">
        <v>14701.51</v>
      </c>
      <c r="W50" s="6">
        <v>687.2</v>
      </c>
      <c r="X50" s="6">
        <v>1393.16</v>
      </c>
      <c r="Y50" s="6">
        <v>3435.36</v>
      </c>
      <c r="Z50" s="6">
        <v>1826.8400000000001</v>
      </c>
      <c r="AA50" s="6"/>
      <c r="AB50" s="6">
        <v>22044.070000000003</v>
      </c>
    </row>
    <row r="51" spans="21:28">
      <c r="U51" s="25" t="s">
        <v>34</v>
      </c>
      <c r="V51" s="6">
        <v>36758.400000000001</v>
      </c>
      <c r="W51" s="6">
        <v>13347.579999999998</v>
      </c>
      <c r="X51" s="6">
        <v>5908.74</v>
      </c>
      <c r="Y51" s="6">
        <v>8001.93</v>
      </c>
      <c r="Z51" s="6">
        <v>13199.32</v>
      </c>
      <c r="AA51" s="6">
        <v>14974.130000000001</v>
      </c>
      <c r="AB51" s="6">
        <v>92190.099999999991</v>
      </c>
    </row>
    <row r="52" spans="21:28">
      <c r="U52" s="26" t="s">
        <v>43</v>
      </c>
      <c r="V52" s="6">
        <v>10517.04</v>
      </c>
      <c r="W52" s="6">
        <v>6788.3899999999994</v>
      </c>
      <c r="X52" s="6"/>
      <c r="Y52" s="6">
        <v>1222.74</v>
      </c>
      <c r="Z52" s="6"/>
      <c r="AA52" s="6">
        <v>842.36</v>
      </c>
      <c r="AB52" s="6">
        <v>19370.530000000002</v>
      </c>
    </row>
    <row r="53" spans="21:28">
      <c r="U53" s="26" t="s">
        <v>35</v>
      </c>
      <c r="V53" s="6">
        <v>23340.68</v>
      </c>
      <c r="W53" s="6"/>
      <c r="X53" s="6">
        <v>5908.74</v>
      </c>
      <c r="Y53" s="6">
        <v>4422.96</v>
      </c>
      <c r="Z53" s="6">
        <v>1900.57</v>
      </c>
      <c r="AA53" s="6">
        <v>8954.56</v>
      </c>
      <c r="AB53" s="6">
        <v>44527.509999999995</v>
      </c>
    </row>
    <row r="54" spans="21:28">
      <c r="U54" s="26" t="s">
        <v>49</v>
      </c>
      <c r="V54" s="6">
        <v>1223.1500000000001</v>
      </c>
      <c r="W54" s="6">
        <v>6559.19</v>
      </c>
      <c r="X54" s="6"/>
      <c r="Y54" s="6">
        <v>2356.23</v>
      </c>
      <c r="Z54" s="6">
        <v>8913.86</v>
      </c>
      <c r="AA54" s="6">
        <v>683.4</v>
      </c>
      <c r="AB54" s="6">
        <v>19735.830000000002</v>
      </c>
    </row>
    <row r="55" spans="21:28">
      <c r="U55" s="26" t="s">
        <v>56</v>
      </c>
      <c r="V55" s="6">
        <v>1677.53</v>
      </c>
      <c r="W55" s="6"/>
      <c r="X55" s="6"/>
      <c r="Y55" s="6"/>
      <c r="Z55" s="6">
        <v>2384.8900000000003</v>
      </c>
      <c r="AA55" s="6">
        <v>4493.8100000000004</v>
      </c>
      <c r="AB55" s="6">
        <v>8556.23</v>
      </c>
    </row>
    <row r="56" spans="21:28">
      <c r="U56" s="25" t="s">
        <v>19</v>
      </c>
      <c r="V56" s="6">
        <v>27507.120000000003</v>
      </c>
      <c r="W56" s="6">
        <v>12467.26</v>
      </c>
      <c r="X56" s="6">
        <v>12675.1</v>
      </c>
      <c r="Y56" s="6">
        <v>24730.27</v>
      </c>
      <c r="Z56" s="6">
        <v>17058.54</v>
      </c>
      <c r="AA56" s="6">
        <v>12370.349999999999</v>
      </c>
      <c r="AB56" s="6">
        <v>106808.64</v>
      </c>
    </row>
    <row r="57" spans="21:28">
      <c r="U57" s="26" t="s">
        <v>32</v>
      </c>
      <c r="V57" s="6">
        <v>7592.91</v>
      </c>
      <c r="W57" s="6">
        <v>1565.12</v>
      </c>
      <c r="X57" s="6">
        <v>5402.93</v>
      </c>
      <c r="Y57" s="6">
        <v>8897.3900000000012</v>
      </c>
      <c r="Z57" s="6">
        <v>845.42</v>
      </c>
      <c r="AA57" s="6">
        <v>3394.31</v>
      </c>
      <c r="AB57" s="6">
        <v>27698.079999999998</v>
      </c>
    </row>
    <row r="58" spans="21:28">
      <c r="U58" s="26" t="s">
        <v>41</v>
      </c>
      <c r="V58" s="6">
        <v>9719.61</v>
      </c>
      <c r="W58" s="6">
        <v>6818.9800000000005</v>
      </c>
      <c r="X58" s="6">
        <v>7272.17</v>
      </c>
      <c r="Y58" s="6">
        <v>7710.54</v>
      </c>
      <c r="Z58" s="6">
        <v>3114.17</v>
      </c>
      <c r="AA58" s="6">
        <v>2766.01</v>
      </c>
      <c r="AB58" s="6">
        <v>37401.480000000003</v>
      </c>
    </row>
    <row r="59" spans="21:28">
      <c r="U59" s="26" t="s">
        <v>52</v>
      </c>
      <c r="V59" s="6">
        <v>907.11</v>
      </c>
      <c r="W59" s="6">
        <v>4083.16</v>
      </c>
      <c r="X59" s="6"/>
      <c r="Y59" s="6">
        <v>1146.1199999999999</v>
      </c>
      <c r="Z59" s="6">
        <v>4044.5699999999997</v>
      </c>
      <c r="AA59" s="6">
        <v>6119.23</v>
      </c>
      <c r="AB59" s="6">
        <v>16300.189999999999</v>
      </c>
    </row>
    <row r="60" spans="21:28">
      <c r="U60" s="26" t="s">
        <v>20</v>
      </c>
      <c r="V60" s="6">
        <v>9287.4900000000016</v>
      </c>
      <c r="W60" s="6"/>
      <c r="X60" s="6"/>
      <c r="Y60" s="6">
        <v>6976.22</v>
      </c>
      <c r="Z60" s="6">
        <v>9054.380000000001</v>
      </c>
      <c r="AA60" s="6">
        <v>90.8</v>
      </c>
      <c r="AB60" s="6">
        <v>25408.890000000003</v>
      </c>
    </row>
    <row r="61" spans="21:28">
      <c r="U61" s="25" t="s">
        <v>67</v>
      </c>
      <c r="V61" s="6">
        <v>141186.25999999998</v>
      </c>
      <c r="W61" s="6">
        <v>62480.640000000014</v>
      </c>
      <c r="X61" s="6">
        <v>48498.62</v>
      </c>
      <c r="Y61" s="6">
        <v>81223.899999999994</v>
      </c>
      <c r="Z61" s="6">
        <v>54761.429999999993</v>
      </c>
      <c r="AA61" s="6">
        <v>59869.789999999994</v>
      </c>
      <c r="AB61" s="6">
        <v>448020.64000000007</v>
      </c>
    </row>
    <row r="65" spans="21:28">
      <c r="U65" s="24" t="s">
        <v>70</v>
      </c>
      <c r="V65" s="24" t="s">
        <v>4</v>
      </c>
    </row>
    <row r="66" spans="21:28">
      <c r="U66" s="24" t="s">
        <v>72</v>
      </c>
      <c r="V66" t="s">
        <v>11</v>
      </c>
      <c r="W66" t="s">
        <v>27</v>
      </c>
      <c r="X66" t="s">
        <v>33</v>
      </c>
      <c r="Y66" t="s">
        <v>21</v>
      </c>
      <c r="Z66" t="s">
        <v>47</v>
      </c>
      <c r="AA66" t="s">
        <v>16</v>
      </c>
      <c r="AB66" t="s">
        <v>67</v>
      </c>
    </row>
    <row r="67" spans="21:28">
      <c r="U67" s="25" t="s">
        <v>14</v>
      </c>
      <c r="V67" s="27">
        <v>42.245958253138262</v>
      </c>
      <c r="W67" s="27">
        <v>49.856235322008523</v>
      </c>
      <c r="X67" s="27">
        <v>55.416024428915804</v>
      </c>
      <c r="Y67" s="27">
        <v>40.042685395103902</v>
      </c>
      <c r="Z67" s="27">
        <v>67.165258436763125</v>
      </c>
      <c r="AA67" s="27">
        <v>55.934892038751528</v>
      </c>
      <c r="AB67" s="27">
        <v>47.660041532930634</v>
      </c>
    </row>
    <row r="68" spans="21:28">
      <c r="U68" s="26" t="s">
        <v>26</v>
      </c>
      <c r="V68" s="27">
        <v>33.461506974471284</v>
      </c>
      <c r="W68" s="27">
        <v>32.943893087760493</v>
      </c>
      <c r="X68" s="27">
        <v>62.447280412685458</v>
      </c>
      <c r="Y68" s="27">
        <v>41.078518798498749</v>
      </c>
      <c r="Z68" s="27">
        <v>83.320291404450415</v>
      </c>
      <c r="AA68" s="27">
        <v>22.945044844541226</v>
      </c>
      <c r="AB68" s="27">
        <v>41.476012493841765</v>
      </c>
    </row>
    <row r="69" spans="21:28">
      <c r="U69" s="26" t="s">
        <v>15</v>
      </c>
      <c r="V69" s="27">
        <v>47.634216103034639</v>
      </c>
      <c r="W69" s="27">
        <v>61.943815224017357</v>
      </c>
      <c r="X69" s="27"/>
      <c r="Y69" s="27">
        <v>45.274191163320573</v>
      </c>
      <c r="Z69" s="27">
        <v>51.010225469075841</v>
      </c>
      <c r="AA69" s="27">
        <v>82.433484483520985</v>
      </c>
      <c r="AB69" s="27">
        <v>57.892968749556516</v>
      </c>
    </row>
    <row r="70" spans="21:28">
      <c r="U70" s="26" t="s">
        <v>45</v>
      </c>
      <c r="V70" s="27">
        <v>37.770540942090584</v>
      </c>
      <c r="W70" s="27">
        <v>30.505837850230076</v>
      </c>
      <c r="X70" s="27">
        <v>53.072272434325917</v>
      </c>
      <c r="Y70" s="27">
        <v>32.060643936434303</v>
      </c>
      <c r="Z70" s="27"/>
      <c r="AA70" s="27"/>
      <c r="AB70" s="27">
        <v>40.795062872483129</v>
      </c>
    </row>
    <row r="71" spans="21:28">
      <c r="U71" s="26" t="s">
        <v>42</v>
      </c>
      <c r="V71" s="27">
        <v>44.606489025861094</v>
      </c>
      <c r="W71" s="27"/>
      <c r="X71" s="27"/>
      <c r="Y71" s="27">
        <v>37.204750797608519</v>
      </c>
      <c r="Z71" s="27"/>
      <c r="AA71" s="27">
        <v>49.176850565807641</v>
      </c>
      <c r="AB71" s="27">
        <v>44.854915433238311</v>
      </c>
    </row>
    <row r="72" spans="21:28">
      <c r="U72" s="25" t="s">
        <v>9</v>
      </c>
      <c r="V72" s="27">
        <v>43.580006175500095</v>
      </c>
      <c r="W72" s="27">
        <v>35.18938800523172</v>
      </c>
      <c r="X72" s="27">
        <v>44.11861272804925</v>
      </c>
      <c r="Y72" s="27">
        <v>52.777193962886095</v>
      </c>
      <c r="Z72" s="27">
        <v>31.876536332234814</v>
      </c>
      <c r="AA72" s="27">
        <v>59.295157967884855</v>
      </c>
      <c r="AB72" s="27">
        <v>42.931224781190174</v>
      </c>
    </row>
    <row r="73" spans="21:28">
      <c r="U73" s="26" t="s">
        <v>50</v>
      </c>
      <c r="V73" s="27">
        <v>27.420889705749168</v>
      </c>
      <c r="W73" s="27">
        <v>43.694640780173572</v>
      </c>
      <c r="X73" s="27">
        <v>49.021432590534125</v>
      </c>
      <c r="Y73" s="27">
        <v>48.510661279979459</v>
      </c>
      <c r="Z73" s="27">
        <v>3.3230127561452258</v>
      </c>
      <c r="AA73" s="27"/>
      <c r="AB73" s="27">
        <v>35.176540010034259</v>
      </c>
    </row>
    <row r="74" spans="21:28">
      <c r="U74" s="26" t="s">
        <v>46</v>
      </c>
      <c r="V74" s="27">
        <v>61.957685889555236</v>
      </c>
      <c r="W74" s="27">
        <v>25.697025325378476</v>
      </c>
      <c r="X74" s="27">
        <v>45.414801600835744</v>
      </c>
      <c r="Y74" s="27">
        <v>57.133908553786043</v>
      </c>
      <c r="Z74" s="27">
        <v>52.748639306979413</v>
      </c>
      <c r="AA74" s="27">
        <v>47.748530945911696</v>
      </c>
      <c r="AB74" s="27">
        <v>52.655916562726134</v>
      </c>
    </row>
    <row r="75" spans="21:28">
      <c r="U75" s="26" t="s">
        <v>53</v>
      </c>
      <c r="V75" s="27">
        <v>39.262501879193451</v>
      </c>
      <c r="W75" s="27">
        <v>35.568539768744337</v>
      </c>
      <c r="X75" s="27">
        <v>9.0599547861633276</v>
      </c>
      <c r="Y75" s="27">
        <v>50.978502372746831</v>
      </c>
      <c r="Z75" s="27">
        <v>40.032236362047271</v>
      </c>
      <c r="AA75" s="27">
        <v>70.841784989858013</v>
      </c>
      <c r="AB75" s="27">
        <v>39.854890290472561</v>
      </c>
    </row>
    <row r="76" spans="21:28">
      <c r="U76" s="26" t="s">
        <v>10</v>
      </c>
      <c r="V76" s="27">
        <v>43.500258047298878</v>
      </c>
      <c r="W76" s="27">
        <v>34.280739092580049</v>
      </c>
      <c r="X76" s="27">
        <v>66.779253199392457</v>
      </c>
      <c r="Y76" s="27">
        <v>56.194213327178055</v>
      </c>
      <c r="Z76" s="27">
        <v>10.530153929022768</v>
      </c>
      <c r="AA76" s="27"/>
      <c r="AB76" s="27">
        <v>42.612161955724282</v>
      </c>
    </row>
    <row r="77" spans="21:28">
      <c r="U77" s="25" t="s">
        <v>23</v>
      </c>
      <c r="V77" s="27">
        <v>40.291531588628921</v>
      </c>
      <c r="W77" s="27">
        <v>53.175974344401297</v>
      </c>
      <c r="X77" s="27">
        <v>27.987594934979171</v>
      </c>
      <c r="Y77" s="27">
        <v>53.522128013123528</v>
      </c>
      <c r="Z77" s="27">
        <v>42.188857241920509</v>
      </c>
      <c r="AA77" s="27">
        <v>37.006173282165676</v>
      </c>
      <c r="AB77" s="27">
        <v>39.938068350503485</v>
      </c>
    </row>
    <row r="78" spans="21:28">
      <c r="U78" s="26" t="s">
        <v>55</v>
      </c>
      <c r="V78" s="27">
        <v>41.641799345123069</v>
      </c>
      <c r="W78" s="27">
        <v>87.501310916206236</v>
      </c>
      <c r="X78" s="27"/>
      <c r="Y78" s="27">
        <v>24.554474650516852</v>
      </c>
      <c r="Z78" s="27"/>
      <c r="AA78" s="27">
        <v>77.231283954842553</v>
      </c>
      <c r="AB78" s="27">
        <v>54.514133642362353</v>
      </c>
    </row>
    <row r="79" spans="21:28">
      <c r="U79" s="26" t="s">
        <v>30</v>
      </c>
      <c r="V79" s="27">
        <v>34.538875551085383</v>
      </c>
      <c r="W79" s="27"/>
      <c r="X79" s="27">
        <v>14.909032596652866</v>
      </c>
      <c r="Y79" s="27"/>
      <c r="Z79" s="27">
        <v>87.000292984951869</v>
      </c>
      <c r="AA79" s="27">
        <v>13.309339693274215</v>
      </c>
      <c r="AB79" s="27">
        <v>35.989130378788239</v>
      </c>
    </row>
    <row r="80" spans="21:28">
      <c r="U80" s="26" t="s">
        <v>24</v>
      </c>
      <c r="V80" s="27">
        <v>33.452288959835599</v>
      </c>
      <c r="W80" s="27"/>
      <c r="X80" s="27">
        <v>30.918748160400622</v>
      </c>
      <c r="Y80" s="27">
        <v>63.238109448168224</v>
      </c>
      <c r="Z80" s="27">
        <v>73.817206331117006</v>
      </c>
      <c r="AA80" s="27">
        <v>28.74203474027297</v>
      </c>
      <c r="AB80" s="27">
        <v>38.051931343721861</v>
      </c>
    </row>
    <row r="81" spans="21:28">
      <c r="U81" s="26" t="s">
        <v>44</v>
      </c>
      <c r="V81" s="27">
        <v>51.936649728906275</v>
      </c>
      <c r="W81" s="27">
        <v>18.850637772596354</v>
      </c>
      <c r="X81" s="27">
        <v>29.341544371619687</v>
      </c>
      <c r="Y81" s="27">
        <v>72.773799940685507</v>
      </c>
      <c r="Z81" s="27">
        <v>16.708928964511234</v>
      </c>
      <c r="AA81" s="27"/>
      <c r="AB81" s="27">
        <v>37.883936789406036</v>
      </c>
    </row>
    <row r="82" spans="21:28">
      <c r="U82" s="25" t="s">
        <v>34</v>
      </c>
      <c r="V82" s="27">
        <v>51.293080755231742</v>
      </c>
      <c r="W82" s="27">
        <v>61.950355612518123</v>
      </c>
      <c r="X82" s="27">
        <v>64.396805742141453</v>
      </c>
      <c r="Y82" s="27">
        <v>21.65968342584317</v>
      </c>
      <c r="Z82" s="27">
        <v>50.02583049021063</v>
      </c>
      <c r="AA82" s="27">
        <v>45.028190925163379</v>
      </c>
      <c r="AB82" s="27">
        <v>47.450083365319657</v>
      </c>
    </row>
    <row r="83" spans="21:28">
      <c r="U83" s="26" t="s">
        <v>43</v>
      </c>
      <c r="V83" s="27">
        <v>49.971687488626024</v>
      </c>
      <c r="W83" s="27">
        <v>84.248377197180574</v>
      </c>
      <c r="X83" s="27"/>
      <c r="Y83" s="27">
        <v>20.334176601465355</v>
      </c>
      <c r="Z83" s="27"/>
      <c r="AA83" s="27">
        <v>17.525470769730095</v>
      </c>
      <c r="AB83" s="27">
        <v>47.075705104112494</v>
      </c>
    </row>
    <row r="84" spans="21:28">
      <c r="U84" s="26" t="s">
        <v>35</v>
      </c>
      <c r="V84" s="27">
        <v>53.433568697437032</v>
      </c>
      <c r="W84" s="27"/>
      <c r="X84" s="27">
        <v>64.396805742141453</v>
      </c>
      <c r="Y84" s="27">
        <v>25.933700891412677</v>
      </c>
      <c r="Z84" s="27">
        <v>45.610147108175347</v>
      </c>
      <c r="AA84" s="27">
        <v>43.964297696420523</v>
      </c>
      <c r="AB84" s="27">
        <v>48.291707517156183</v>
      </c>
    </row>
    <row r="85" spans="21:28">
      <c r="U85" s="26" t="s">
        <v>49</v>
      </c>
      <c r="V85" s="27">
        <v>39.835272201451218</v>
      </c>
      <c r="W85" s="27">
        <v>47.08500788940983</v>
      </c>
      <c r="X85" s="27"/>
      <c r="Y85" s="27">
        <v>18.711172784651485</v>
      </c>
      <c r="Z85" s="27">
        <v>62.419469788623125</v>
      </c>
      <c r="AA85" s="27">
        <v>49.79271251520958</v>
      </c>
      <c r="AB85" s="27">
        <v>45.556376332006259</v>
      </c>
    </row>
    <row r="86" spans="21:28">
      <c r="U86" s="26" t="s">
        <v>56</v>
      </c>
      <c r="V86" s="27">
        <v>53.872141455597621</v>
      </c>
      <c r="W86" s="27"/>
      <c r="X86" s="27"/>
      <c r="Y86" s="27"/>
      <c r="Z86" s="27">
        <v>40.575980113154976</v>
      </c>
      <c r="AA86" s="27">
        <v>70.958069176778977</v>
      </c>
      <c r="AB86" s="27">
        <v>49.311630194368306</v>
      </c>
    </row>
    <row r="87" spans="21:28">
      <c r="U87" s="25" t="s">
        <v>19</v>
      </c>
      <c r="V87" s="27">
        <v>49.887803007378572</v>
      </c>
      <c r="W87" s="27">
        <v>47.435196034032401</v>
      </c>
      <c r="X87" s="27">
        <v>39.33013512680369</v>
      </c>
      <c r="Y87" s="27">
        <v>52.640357700684632</v>
      </c>
      <c r="Z87" s="27">
        <v>41.630736960236966</v>
      </c>
      <c r="AA87" s="27">
        <v>33.851947055846985</v>
      </c>
      <c r="AB87" s="27">
        <v>45.870479731521165</v>
      </c>
    </row>
    <row r="88" spans="21:28">
      <c r="U88" s="26" t="s">
        <v>32</v>
      </c>
      <c r="V88" s="27">
        <v>43.685284501216074</v>
      </c>
      <c r="W88" s="27">
        <v>15.867216282469537</v>
      </c>
      <c r="X88" s="27">
        <v>29.768690373011363</v>
      </c>
      <c r="Y88" s="27">
        <v>50.954707295860274</v>
      </c>
      <c r="Z88" s="27">
        <v>8.7726926050254477</v>
      </c>
      <c r="AA88" s="27">
        <v>28.032882779093281</v>
      </c>
      <c r="AB88" s="27">
        <v>37.056075703177683</v>
      </c>
    </row>
    <row r="89" spans="21:28">
      <c r="U89" s="26" t="s">
        <v>41</v>
      </c>
      <c r="V89" s="27">
        <v>48.464197404248452</v>
      </c>
      <c r="W89" s="27">
        <v>58.205354184201902</v>
      </c>
      <c r="X89" s="27">
        <v>48.891579880596026</v>
      </c>
      <c r="Y89" s="27">
        <v>48.596579495021878</v>
      </c>
      <c r="Z89" s="27">
        <v>39.729223621797615</v>
      </c>
      <c r="AA89" s="27">
        <v>38.17086852901928</v>
      </c>
      <c r="AB89" s="27">
        <v>48.160691621438183</v>
      </c>
    </row>
    <row r="90" spans="21:28">
      <c r="U90" s="26" t="s">
        <v>52</v>
      </c>
      <c r="V90" s="27">
        <v>27.170126668723398</v>
      </c>
      <c r="W90" s="27">
        <v>46.692701335086767</v>
      </c>
      <c r="X90" s="27"/>
      <c r="Y90" s="27">
        <v>54.861902254559382</v>
      </c>
      <c r="Z90" s="27">
        <v>29.186638547979982</v>
      </c>
      <c r="AA90" s="27">
        <v>73.797237079335972</v>
      </c>
      <c r="AB90" s="27">
        <v>43.482540738944245</v>
      </c>
    </row>
    <row r="91" spans="21:28">
      <c r="U91" s="26" t="s">
        <v>20</v>
      </c>
      <c r="V91" s="27">
        <v>65.561021097266277</v>
      </c>
      <c r="W91" s="27"/>
      <c r="X91" s="27"/>
      <c r="Y91" s="27">
        <v>63.831267847133702</v>
      </c>
      <c r="Z91" s="27">
        <v>73.356127557758725</v>
      </c>
      <c r="AA91" s="27">
        <v>1.2258641126930936</v>
      </c>
      <c r="AB91" s="27">
        <v>59.0354647767846</v>
      </c>
    </row>
    <row r="92" spans="21:28">
      <c r="U92" s="25" t="s">
        <v>67</v>
      </c>
      <c r="V92" s="27">
        <v>45.045301632287355</v>
      </c>
      <c r="W92" s="27">
        <v>47.363039502938051</v>
      </c>
      <c r="X92" s="27">
        <v>42.461490247455792</v>
      </c>
      <c r="Y92" s="27">
        <v>44.649548737804956</v>
      </c>
      <c r="Z92" s="27">
        <v>44.21107229813871</v>
      </c>
      <c r="AA92" s="27">
        <v>45.732838923579493</v>
      </c>
      <c r="AB92" s="27">
        <v>44.917459582633903</v>
      </c>
    </row>
  </sheetData>
  <conditionalFormatting pivot="1" sqref="G29:S35">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4.9989318521683403E-2"/>
    <outlinePr summaryBelow="0" summaryRight="0"/>
  </sheetPr>
  <dimension ref="A1:I201"/>
  <sheetViews>
    <sheetView topLeftCell="A2" workbookViewId="0">
      <selection activeCell="L18" sqref="L18"/>
    </sheetView>
  </sheetViews>
  <sheetFormatPr defaultColWidth="12.5703125" defaultRowHeight="15.75" customHeight="1"/>
  <cols>
    <col min="1" max="1" width="14.7109375" customWidth="1"/>
    <col min="2" max="2" width="15.5703125" customWidth="1"/>
    <col min="3" max="3" width="16" customWidth="1"/>
    <col min="4" max="4" width="23.85546875" customWidth="1"/>
    <col min="5" max="5" width="18.85546875" customWidth="1"/>
    <col min="6" max="6" width="15.5703125" style="6" customWidth="1"/>
    <col min="7" max="7" width="15.140625" style="6" customWidth="1"/>
    <col min="8" max="8" width="15.5703125" customWidth="1"/>
    <col min="9" max="9" width="18.140625" style="10" customWidth="1"/>
  </cols>
  <sheetData>
    <row r="1" spans="1:9" ht="15.75" customHeight="1">
      <c r="A1" s="3" t="s">
        <v>0</v>
      </c>
      <c r="B1" s="3" t="s">
        <v>57</v>
      </c>
      <c r="C1" s="3" t="s">
        <v>1</v>
      </c>
      <c r="D1" s="3" t="s">
        <v>2</v>
      </c>
      <c r="E1" s="3" t="s">
        <v>3</v>
      </c>
      <c r="F1" s="3" t="s">
        <v>4</v>
      </c>
      <c r="G1" s="4" t="s">
        <v>5</v>
      </c>
      <c r="H1" s="4" t="s">
        <v>6</v>
      </c>
      <c r="I1" s="8" t="s">
        <v>58</v>
      </c>
    </row>
    <row r="2" spans="1:9" ht="14.25">
      <c r="A2" s="1" t="s">
        <v>7</v>
      </c>
      <c r="B2" s="2">
        <f t="shared" ref="B2:B33" si="0">MONTH(DATEVALUE(A2 &amp; " 1"))</f>
        <v>5</v>
      </c>
      <c r="C2" s="2" t="s">
        <v>8</v>
      </c>
      <c r="D2" s="2" t="s">
        <v>9</v>
      </c>
      <c r="E2" s="2" t="s">
        <v>10</v>
      </c>
      <c r="F2" s="2" t="s">
        <v>11</v>
      </c>
      <c r="G2" s="5">
        <v>2122.15</v>
      </c>
      <c r="H2" s="7">
        <v>1384.86</v>
      </c>
      <c r="I2" s="9">
        <f>(salesdata[[#This Row],[Profit]]/salesdata[[#This Row],[Sales]])*100</f>
        <v>65.257404047781719</v>
      </c>
    </row>
    <row r="3" spans="1:9" ht="14.25">
      <c r="A3" s="1" t="s">
        <v>12</v>
      </c>
      <c r="B3" s="2">
        <f t="shared" si="0"/>
        <v>11</v>
      </c>
      <c r="C3" s="2" t="s">
        <v>13</v>
      </c>
      <c r="D3" s="2" t="s">
        <v>14</v>
      </c>
      <c r="E3" s="2" t="s">
        <v>15</v>
      </c>
      <c r="F3" s="2" t="s">
        <v>16</v>
      </c>
      <c r="G3" s="5">
        <v>8413.3700000000008</v>
      </c>
      <c r="H3" s="7">
        <v>6642.86</v>
      </c>
      <c r="I3" s="9">
        <f>(salesdata[[#This Row],[Profit]]/salesdata[[#This Row],[Sales]])*100</f>
        <v>78.955995041226032</v>
      </c>
    </row>
    <row r="4" spans="1:9" ht="14.25">
      <c r="A4" s="1" t="s">
        <v>17</v>
      </c>
      <c r="B4" s="2">
        <f t="shared" si="0"/>
        <v>6</v>
      </c>
      <c r="C4" s="2" t="s">
        <v>18</v>
      </c>
      <c r="D4" s="2" t="s">
        <v>19</v>
      </c>
      <c r="E4" s="2" t="s">
        <v>20</v>
      </c>
      <c r="F4" s="2" t="s">
        <v>21</v>
      </c>
      <c r="G4" s="5">
        <v>9088.41</v>
      </c>
      <c r="H4" s="7">
        <v>4855.3</v>
      </c>
      <c r="I4" s="9">
        <f>(salesdata[[#This Row],[Profit]]/salesdata[[#This Row],[Sales]])*100</f>
        <v>53.422985978845581</v>
      </c>
    </row>
    <row r="5" spans="1:9" ht="14.25">
      <c r="A5" s="1" t="s">
        <v>22</v>
      </c>
      <c r="B5" s="2">
        <f t="shared" si="0"/>
        <v>12</v>
      </c>
      <c r="C5" s="2" t="s">
        <v>8</v>
      </c>
      <c r="D5" s="2" t="s">
        <v>23</v>
      </c>
      <c r="E5" s="2" t="s">
        <v>24</v>
      </c>
      <c r="F5" s="2" t="s">
        <v>16</v>
      </c>
      <c r="G5" s="5">
        <v>3250.66</v>
      </c>
      <c r="H5" s="7">
        <v>395.36</v>
      </c>
      <c r="I5" s="9">
        <f>(salesdata[[#This Row],[Profit]]/salesdata[[#This Row],[Sales]])*100</f>
        <v>12.162453163357597</v>
      </c>
    </row>
    <row r="6" spans="1:9" ht="14.25">
      <c r="A6" s="1" t="s">
        <v>25</v>
      </c>
      <c r="B6" s="2">
        <f t="shared" si="0"/>
        <v>2</v>
      </c>
      <c r="C6" s="2" t="s">
        <v>8</v>
      </c>
      <c r="D6" s="2" t="s">
        <v>14</v>
      </c>
      <c r="E6" s="2" t="s">
        <v>26</v>
      </c>
      <c r="F6" s="2" t="s">
        <v>27</v>
      </c>
      <c r="G6" s="5">
        <v>8721.92</v>
      </c>
      <c r="H6" s="7">
        <v>2873.34</v>
      </c>
      <c r="I6" s="9">
        <f>(salesdata[[#This Row],[Profit]]/salesdata[[#This Row],[Sales]])*100</f>
        <v>32.943893087760493</v>
      </c>
    </row>
    <row r="7" spans="1:9" ht="14.25">
      <c r="A7" s="1" t="s">
        <v>28</v>
      </c>
      <c r="B7" s="2">
        <f t="shared" si="0"/>
        <v>3</v>
      </c>
      <c r="C7" s="2" t="s">
        <v>29</v>
      </c>
      <c r="D7" s="2" t="s">
        <v>23</v>
      </c>
      <c r="E7" s="2" t="s">
        <v>30</v>
      </c>
      <c r="F7" s="2" t="s">
        <v>11</v>
      </c>
      <c r="G7" s="5">
        <v>2361.0700000000002</v>
      </c>
      <c r="H7" s="7">
        <v>126.6</v>
      </c>
      <c r="I7" s="9">
        <f>(salesdata[[#This Row],[Profit]]/salesdata[[#This Row],[Sales]])*100</f>
        <v>5.361975714400673</v>
      </c>
    </row>
    <row r="8" spans="1:9" ht="14.25">
      <c r="A8" s="1" t="s">
        <v>25</v>
      </c>
      <c r="B8" s="2">
        <f t="shared" si="0"/>
        <v>2</v>
      </c>
      <c r="C8" s="2" t="s">
        <v>31</v>
      </c>
      <c r="D8" s="2" t="s">
        <v>19</v>
      </c>
      <c r="E8" s="2" t="s">
        <v>32</v>
      </c>
      <c r="F8" s="2" t="s">
        <v>33</v>
      </c>
      <c r="G8" s="5">
        <v>6033.49</v>
      </c>
      <c r="H8" s="7">
        <v>713.3</v>
      </c>
      <c r="I8" s="9">
        <f>(salesdata[[#This Row],[Profit]]/salesdata[[#This Row],[Sales]])*100</f>
        <v>11.822344944634033</v>
      </c>
    </row>
    <row r="9" spans="1:9" ht="14.25">
      <c r="A9" s="1" t="s">
        <v>12</v>
      </c>
      <c r="B9" s="2">
        <f t="shared" si="0"/>
        <v>11</v>
      </c>
      <c r="C9" s="2" t="s">
        <v>8</v>
      </c>
      <c r="D9" s="2" t="s">
        <v>34</v>
      </c>
      <c r="E9" s="2" t="s">
        <v>35</v>
      </c>
      <c r="F9" s="2" t="s">
        <v>16</v>
      </c>
      <c r="G9" s="5">
        <v>2770.26</v>
      </c>
      <c r="H9" s="7">
        <v>633.86</v>
      </c>
      <c r="I9" s="9">
        <f>(salesdata[[#This Row],[Profit]]/salesdata[[#This Row],[Sales]])*100</f>
        <v>22.880884826694967</v>
      </c>
    </row>
    <row r="10" spans="1:9" ht="14.25">
      <c r="A10" s="1" t="s">
        <v>36</v>
      </c>
      <c r="B10" s="2">
        <f t="shared" si="0"/>
        <v>1</v>
      </c>
      <c r="C10" s="2" t="s">
        <v>8</v>
      </c>
      <c r="D10" s="2" t="s">
        <v>9</v>
      </c>
      <c r="E10" s="2" t="s">
        <v>10</v>
      </c>
      <c r="F10" s="2" t="s">
        <v>27</v>
      </c>
      <c r="G10" s="5">
        <v>3101.1</v>
      </c>
      <c r="H10" s="7">
        <v>1063.08</v>
      </c>
      <c r="I10" s="9">
        <f>(salesdata[[#This Row],[Profit]]/salesdata[[#This Row],[Sales]])*100</f>
        <v>34.280739092580049</v>
      </c>
    </row>
    <row r="11" spans="1:9" ht="14.25">
      <c r="A11" s="1" t="s">
        <v>37</v>
      </c>
      <c r="B11" s="2">
        <f t="shared" si="0"/>
        <v>7</v>
      </c>
      <c r="C11" s="2" t="s">
        <v>38</v>
      </c>
      <c r="D11" s="2" t="s">
        <v>19</v>
      </c>
      <c r="E11" s="2" t="s">
        <v>32</v>
      </c>
      <c r="F11" s="2" t="s">
        <v>11</v>
      </c>
      <c r="G11" s="5">
        <v>9995.59</v>
      </c>
      <c r="H11" s="7">
        <v>6411.72</v>
      </c>
      <c r="I11" s="9">
        <f>(salesdata[[#This Row],[Profit]]/salesdata[[#This Row],[Sales]])*100</f>
        <v>64.145488160278688</v>
      </c>
    </row>
    <row r="12" spans="1:9" ht="14.25">
      <c r="A12" s="1" t="s">
        <v>39</v>
      </c>
      <c r="B12" s="2">
        <f t="shared" si="0"/>
        <v>4</v>
      </c>
      <c r="C12" s="2" t="s">
        <v>13</v>
      </c>
      <c r="D12" s="2" t="s">
        <v>34</v>
      </c>
      <c r="E12" s="2" t="s">
        <v>35</v>
      </c>
      <c r="F12" s="2" t="s">
        <v>11</v>
      </c>
      <c r="G12" s="5">
        <v>6751.92</v>
      </c>
      <c r="H12" s="7">
        <v>4074.55</v>
      </c>
      <c r="I12" s="9">
        <f>(salesdata[[#This Row],[Profit]]/salesdata[[#This Row],[Sales]])*100</f>
        <v>60.346538466095566</v>
      </c>
    </row>
    <row r="13" spans="1:9" ht="14.25">
      <c r="A13" s="1" t="s">
        <v>40</v>
      </c>
      <c r="B13" s="2">
        <f t="shared" si="0"/>
        <v>8</v>
      </c>
      <c r="C13" s="2" t="s">
        <v>29</v>
      </c>
      <c r="D13" s="2" t="s">
        <v>19</v>
      </c>
      <c r="E13" s="2" t="s">
        <v>41</v>
      </c>
      <c r="F13" s="2" t="s">
        <v>21</v>
      </c>
      <c r="G13" s="5">
        <v>1619.29</v>
      </c>
      <c r="H13" s="7">
        <v>1268.3900000000001</v>
      </c>
      <c r="I13" s="9">
        <f>(salesdata[[#This Row],[Profit]]/salesdata[[#This Row],[Sales]])*100</f>
        <v>78.330008831030895</v>
      </c>
    </row>
    <row r="14" spans="1:9" ht="14.25">
      <c r="A14" s="1" t="s">
        <v>7</v>
      </c>
      <c r="B14" s="2">
        <f t="shared" si="0"/>
        <v>5</v>
      </c>
      <c r="C14" s="2" t="s">
        <v>13</v>
      </c>
      <c r="D14" s="2" t="s">
        <v>34</v>
      </c>
      <c r="E14" s="2" t="s">
        <v>35</v>
      </c>
      <c r="F14" s="2" t="s">
        <v>21</v>
      </c>
      <c r="G14" s="5">
        <v>1062.95</v>
      </c>
      <c r="H14" s="7">
        <v>12.54</v>
      </c>
      <c r="I14" s="9">
        <f>(salesdata[[#This Row],[Profit]]/salesdata[[#This Row],[Sales]])*100</f>
        <v>1.1797356413754174</v>
      </c>
    </row>
    <row r="15" spans="1:9" ht="14.25">
      <c r="A15" s="1" t="s">
        <v>37</v>
      </c>
      <c r="B15" s="2">
        <f t="shared" si="0"/>
        <v>7</v>
      </c>
      <c r="C15" s="2" t="s">
        <v>8</v>
      </c>
      <c r="D15" s="2" t="s">
        <v>14</v>
      </c>
      <c r="E15" s="2" t="s">
        <v>42</v>
      </c>
      <c r="F15" s="2" t="s">
        <v>16</v>
      </c>
      <c r="G15" s="5">
        <v>6399.74</v>
      </c>
      <c r="H15" s="7">
        <v>2725.63</v>
      </c>
      <c r="I15" s="9">
        <f>(salesdata[[#This Row],[Profit]]/salesdata[[#This Row],[Sales]])*100</f>
        <v>42.58969895652011</v>
      </c>
    </row>
    <row r="16" spans="1:9" ht="14.25">
      <c r="A16" s="1" t="s">
        <v>7</v>
      </c>
      <c r="B16" s="2">
        <f t="shared" si="0"/>
        <v>5</v>
      </c>
      <c r="C16" s="2" t="s">
        <v>8</v>
      </c>
      <c r="D16" s="2" t="s">
        <v>34</v>
      </c>
      <c r="E16" s="2" t="s">
        <v>43</v>
      </c>
      <c r="F16" s="2" t="s">
        <v>27</v>
      </c>
      <c r="G16" s="5">
        <v>1184.17</v>
      </c>
      <c r="H16" s="7">
        <v>1004.27</v>
      </c>
      <c r="I16" s="9">
        <f>(salesdata[[#This Row],[Profit]]/salesdata[[#This Row],[Sales]])*100</f>
        <v>84.80792453786195</v>
      </c>
    </row>
    <row r="17" spans="1:9" ht="14.25">
      <c r="A17" s="1" t="s">
        <v>36</v>
      </c>
      <c r="B17" s="2">
        <f t="shared" si="0"/>
        <v>1</v>
      </c>
      <c r="C17" s="2" t="s">
        <v>13</v>
      </c>
      <c r="D17" s="2" t="s">
        <v>19</v>
      </c>
      <c r="E17" s="2" t="s">
        <v>41</v>
      </c>
      <c r="F17" s="2" t="s">
        <v>11</v>
      </c>
      <c r="G17" s="5">
        <v>3336.38</v>
      </c>
      <c r="H17" s="7">
        <v>572.85</v>
      </c>
      <c r="I17" s="9">
        <f>(salesdata[[#This Row],[Profit]]/salesdata[[#This Row],[Sales]])*100</f>
        <v>17.16980679658792</v>
      </c>
    </row>
    <row r="18" spans="1:9" ht="14.25">
      <c r="A18" s="1" t="s">
        <v>36</v>
      </c>
      <c r="B18" s="2">
        <f t="shared" si="0"/>
        <v>1</v>
      </c>
      <c r="C18" s="2" t="s">
        <v>29</v>
      </c>
      <c r="D18" s="2" t="s">
        <v>23</v>
      </c>
      <c r="E18" s="2" t="s">
        <v>44</v>
      </c>
      <c r="F18" s="2" t="s">
        <v>11</v>
      </c>
      <c r="G18" s="5">
        <v>8421.1</v>
      </c>
      <c r="H18" s="7">
        <v>831.55</v>
      </c>
      <c r="I18" s="9">
        <f>(salesdata[[#This Row],[Profit]]/salesdata[[#This Row],[Sales]])*100</f>
        <v>9.8746007053710319</v>
      </c>
    </row>
    <row r="19" spans="1:9" ht="14.25">
      <c r="A19" s="1" t="s">
        <v>36</v>
      </c>
      <c r="B19" s="2">
        <f t="shared" si="0"/>
        <v>1</v>
      </c>
      <c r="C19" s="2" t="s">
        <v>29</v>
      </c>
      <c r="D19" s="2" t="s">
        <v>14</v>
      </c>
      <c r="E19" s="2" t="s">
        <v>45</v>
      </c>
      <c r="F19" s="2" t="s">
        <v>33</v>
      </c>
      <c r="G19" s="5">
        <v>455.63</v>
      </c>
      <c r="H19" s="7">
        <v>319.60000000000002</v>
      </c>
      <c r="I19" s="9">
        <f>(salesdata[[#This Row],[Profit]]/salesdata[[#This Row],[Sales]])*100</f>
        <v>70.144634901125926</v>
      </c>
    </row>
    <row r="20" spans="1:9" ht="14.25">
      <c r="A20" s="1" t="s">
        <v>7</v>
      </c>
      <c r="B20" s="2">
        <f t="shared" si="0"/>
        <v>5</v>
      </c>
      <c r="C20" s="2" t="s">
        <v>38</v>
      </c>
      <c r="D20" s="2" t="s">
        <v>19</v>
      </c>
      <c r="E20" s="2" t="s">
        <v>41</v>
      </c>
      <c r="F20" s="2" t="s">
        <v>27</v>
      </c>
      <c r="G20" s="5">
        <v>3638.37</v>
      </c>
      <c r="H20" s="7">
        <v>3250.9</v>
      </c>
      <c r="I20" s="9">
        <f>(salesdata[[#This Row],[Profit]]/salesdata[[#This Row],[Sales]])*100</f>
        <v>89.35045088872215</v>
      </c>
    </row>
    <row r="21" spans="1:9" ht="14.25">
      <c r="A21" s="1" t="s">
        <v>39</v>
      </c>
      <c r="B21" s="2">
        <f t="shared" si="0"/>
        <v>4</v>
      </c>
      <c r="C21" s="2" t="s">
        <v>13</v>
      </c>
      <c r="D21" s="2" t="s">
        <v>9</v>
      </c>
      <c r="E21" s="2" t="s">
        <v>46</v>
      </c>
      <c r="F21" s="2" t="s">
        <v>11</v>
      </c>
      <c r="G21" s="5">
        <v>1147.8399999999999</v>
      </c>
      <c r="H21" s="7">
        <v>888.28</v>
      </c>
      <c r="I21" s="9">
        <f>(salesdata[[#This Row],[Profit]]/salesdata[[#This Row],[Sales]])*100</f>
        <v>77.387092277669367</v>
      </c>
    </row>
    <row r="22" spans="1:9" ht="14.25">
      <c r="A22" s="1" t="s">
        <v>17</v>
      </c>
      <c r="B22" s="2">
        <f t="shared" si="0"/>
        <v>6</v>
      </c>
      <c r="C22" s="2" t="s">
        <v>38</v>
      </c>
      <c r="D22" s="2" t="s">
        <v>9</v>
      </c>
      <c r="E22" s="2" t="s">
        <v>10</v>
      </c>
      <c r="F22" s="2" t="s">
        <v>47</v>
      </c>
      <c r="G22" s="5">
        <v>2413.4499999999998</v>
      </c>
      <c r="H22" s="7">
        <v>254.14</v>
      </c>
      <c r="I22" s="9">
        <f>(salesdata[[#This Row],[Profit]]/salesdata[[#This Row],[Sales]])*100</f>
        <v>10.530153929022768</v>
      </c>
    </row>
    <row r="23" spans="1:9" ht="14.25">
      <c r="A23" s="1" t="s">
        <v>22</v>
      </c>
      <c r="B23" s="2">
        <f t="shared" si="0"/>
        <v>12</v>
      </c>
      <c r="C23" s="2" t="s">
        <v>29</v>
      </c>
      <c r="D23" s="2" t="s">
        <v>14</v>
      </c>
      <c r="E23" s="2" t="s">
        <v>15</v>
      </c>
      <c r="F23" s="2" t="s">
        <v>27</v>
      </c>
      <c r="G23" s="5">
        <v>8105.44</v>
      </c>
      <c r="H23" s="7">
        <v>6249.24</v>
      </c>
      <c r="I23" s="9">
        <f>(salesdata[[#This Row],[Profit]]/salesdata[[#This Row],[Sales]])*100</f>
        <v>77.0993308197951</v>
      </c>
    </row>
    <row r="24" spans="1:9" ht="14.25">
      <c r="A24" s="1" t="s">
        <v>28</v>
      </c>
      <c r="B24" s="2">
        <f t="shared" si="0"/>
        <v>3</v>
      </c>
      <c r="C24" s="2" t="s">
        <v>48</v>
      </c>
      <c r="D24" s="2" t="s">
        <v>34</v>
      </c>
      <c r="E24" s="2" t="s">
        <v>49</v>
      </c>
      <c r="F24" s="2" t="s">
        <v>27</v>
      </c>
      <c r="G24" s="5">
        <v>3481.09</v>
      </c>
      <c r="H24" s="7">
        <v>1954.98</v>
      </c>
      <c r="I24" s="9">
        <f>(salesdata[[#This Row],[Profit]]/salesdata[[#This Row],[Sales]])*100</f>
        <v>56.159995863364628</v>
      </c>
    </row>
    <row r="25" spans="1:9" ht="14.25">
      <c r="A25" s="1" t="s">
        <v>39</v>
      </c>
      <c r="B25" s="2">
        <f t="shared" si="0"/>
        <v>4</v>
      </c>
      <c r="C25" s="2" t="s">
        <v>18</v>
      </c>
      <c r="D25" s="2" t="s">
        <v>9</v>
      </c>
      <c r="E25" s="2" t="s">
        <v>50</v>
      </c>
      <c r="F25" s="2" t="s">
        <v>11</v>
      </c>
      <c r="G25" s="5">
        <v>1366.9</v>
      </c>
      <c r="H25" s="7">
        <v>741.2</v>
      </c>
      <c r="I25" s="9">
        <f>(salesdata[[#This Row],[Profit]]/salesdata[[#This Row],[Sales]])*100</f>
        <v>54.224888433682054</v>
      </c>
    </row>
    <row r="26" spans="1:9" ht="14.25">
      <c r="A26" s="1" t="s">
        <v>22</v>
      </c>
      <c r="B26" s="2">
        <f t="shared" si="0"/>
        <v>12</v>
      </c>
      <c r="C26" s="2" t="s">
        <v>29</v>
      </c>
      <c r="D26" s="2" t="s">
        <v>14</v>
      </c>
      <c r="E26" s="2" t="s">
        <v>26</v>
      </c>
      <c r="F26" s="2" t="s">
        <v>33</v>
      </c>
      <c r="G26" s="5">
        <v>5313.49</v>
      </c>
      <c r="H26" s="7">
        <v>3318.13</v>
      </c>
      <c r="I26" s="9">
        <f>(salesdata[[#This Row],[Profit]]/salesdata[[#This Row],[Sales]])*100</f>
        <v>62.447280412685458</v>
      </c>
    </row>
    <row r="27" spans="1:9" ht="14.25">
      <c r="A27" s="1" t="s">
        <v>51</v>
      </c>
      <c r="B27" s="2">
        <f t="shared" si="0"/>
        <v>10</v>
      </c>
      <c r="C27" s="2" t="s">
        <v>8</v>
      </c>
      <c r="D27" s="2" t="s">
        <v>19</v>
      </c>
      <c r="E27" s="2" t="s">
        <v>52</v>
      </c>
      <c r="F27" s="2" t="s">
        <v>16</v>
      </c>
      <c r="G27" s="5">
        <v>8291.9500000000007</v>
      </c>
      <c r="H27" s="7">
        <v>6119.23</v>
      </c>
      <c r="I27" s="9">
        <f>(salesdata[[#This Row],[Profit]]/salesdata[[#This Row],[Sales]])*100</f>
        <v>73.797237079335972</v>
      </c>
    </row>
    <row r="28" spans="1:9" ht="14.25">
      <c r="A28" s="1" t="s">
        <v>37</v>
      </c>
      <c r="B28" s="2">
        <f t="shared" si="0"/>
        <v>7</v>
      </c>
      <c r="C28" s="2" t="s">
        <v>18</v>
      </c>
      <c r="D28" s="2" t="s">
        <v>19</v>
      </c>
      <c r="E28" s="2" t="s">
        <v>32</v>
      </c>
      <c r="F28" s="2" t="s">
        <v>33</v>
      </c>
      <c r="G28" s="5">
        <v>6144.45</v>
      </c>
      <c r="H28" s="7">
        <v>3992.38</v>
      </c>
      <c r="I28" s="9">
        <f>(salesdata[[#This Row],[Profit]]/salesdata[[#This Row],[Sales]])*100</f>
        <v>64.975384289887629</v>
      </c>
    </row>
    <row r="29" spans="1:9" ht="14.25">
      <c r="A29" s="1" t="s">
        <v>17</v>
      </c>
      <c r="B29" s="2">
        <f t="shared" si="0"/>
        <v>6</v>
      </c>
      <c r="C29" s="2" t="s">
        <v>8</v>
      </c>
      <c r="D29" s="2" t="s">
        <v>9</v>
      </c>
      <c r="E29" s="2" t="s">
        <v>53</v>
      </c>
      <c r="F29" s="2" t="s">
        <v>33</v>
      </c>
      <c r="G29" s="5">
        <v>6458.2</v>
      </c>
      <c r="H29" s="7">
        <v>585.11</v>
      </c>
      <c r="I29" s="9">
        <f>(salesdata[[#This Row],[Profit]]/salesdata[[#This Row],[Sales]])*100</f>
        <v>9.0599547861633276</v>
      </c>
    </row>
    <row r="30" spans="1:9" ht="14.25">
      <c r="A30" s="1" t="s">
        <v>7</v>
      </c>
      <c r="B30" s="2">
        <f t="shared" si="0"/>
        <v>5</v>
      </c>
      <c r="C30" s="2" t="s">
        <v>8</v>
      </c>
      <c r="D30" s="2" t="s">
        <v>14</v>
      </c>
      <c r="E30" s="2" t="s">
        <v>15</v>
      </c>
      <c r="F30" s="2" t="s">
        <v>11</v>
      </c>
      <c r="G30" s="5">
        <v>1714.15</v>
      </c>
      <c r="H30" s="7">
        <v>1408.89</v>
      </c>
      <c r="I30" s="9">
        <f>(salesdata[[#This Row],[Profit]]/salesdata[[#This Row],[Sales]])*100</f>
        <v>82.191756847417082</v>
      </c>
    </row>
    <row r="31" spans="1:9" ht="14.25">
      <c r="A31" s="1" t="s">
        <v>54</v>
      </c>
      <c r="B31" s="2">
        <f t="shared" si="0"/>
        <v>9</v>
      </c>
      <c r="C31" s="2" t="s">
        <v>29</v>
      </c>
      <c r="D31" s="2" t="s">
        <v>19</v>
      </c>
      <c r="E31" s="2" t="s">
        <v>32</v>
      </c>
      <c r="F31" s="2" t="s">
        <v>21</v>
      </c>
      <c r="G31" s="5">
        <v>5708.29</v>
      </c>
      <c r="H31" s="7">
        <v>289.67</v>
      </c>
      <c r="I31" s="9">
        <f>(salesdata[[#This Row],[Profit]]/salesdata[[#This Row],[Sales]])*100</f>
        <v>5.0745494710324808</v>
      </c>
    </row>
    <row r="32" spans="1:9" ht="14.25">
      <c r="A32" s="1" t="s">
        <v>17</v>
      </c>
      <c r="B32" s="2">
        <f t="shared" si="0"/>
        <v>6</v>
      </c>
      <c r="C32" s="2" t="s">
        <v>48</v>
      </c>
      <c r="D32" s="2" t="s">
        <v>14</v>
      </c>
      <c r="E32" s="2" t="s">
        <v>42</v>
      </c>
      <c r="F32" s="2" t="s">
        <v>11</v>
      </c>
      <c r="G32" s="5">
        <v>1251.78</v>
      </c>
      <c r="H32" s="7">
        <v>478.76</v>
      </c>
      <c r="I32" s="9">
        <f>(salesdata[[#This Row],[Profit]]/salesdata[[#This Row],[Sales]])*100</f>
        <v>38.246337215804694</v>
      </c>
    </row>
    <row r="33" spans="1:9" ht="14.25">
      <c r="A33" s="1" t="s">
        <v>39</v>
      </c>
      <c r="B33" s="2">
        <f t="shared" si="0"/>
        <v>4</v>
      </c>
      <c r="C33" s="2" t="s">
        <v>18</v>
      </c>
      <c r="D33" s="2" t="s">
        <v>23</v>
      </c>
      <c r="E33" s="2" t="s">
        <v>24</v>
      </c>
      <c r="F33" s="2" t="s">
        <v>11</v>
      </c>
      <c r="G33" s="5">
        <v>3720.62</v>
      </c>
      <c r="H33" s="7">
        <v>2228.4299999999998</v>
      </c>
      <c r="I33" s="9">
        <f>(salesdata[[#This Row],[Profit]]/salesdata[[#This Row],[Sales]])*100</f>
        <v>59.894049916411774</v>
      </c>
    </row>
    <row r="34" spans="1:9" ht="14.25">
      <c r="A34" s="1" t="s">
        <v>28</v>
      </c>
      <c r="B34" s="2">
        <f t="shared" ref="B34:B65" si="1">MONTH(DATEVALUE(A34 &amp; " 1"))</f>
        <v>3</v>
      </c>
      <c r="C34" s="2" t="s">
        <v>29</v>
      </c>
      <c r="D34" s="2" t="s">
        <v>19</v>
      </c>
      <c r="E34" s="2" t="s">
        <v>32</v>
      </c>
      <c r="F34" s="2" t="s">
        <v>16</v>
      </c>
      <c r="G34" s="5">
        <v>9523.52</v>
      </c>
      <c r="H34" s="7">
        <v>3268.02</v>
      </c>
      <c r="I34" s="9">
        <f>(salesdata[[#This Row],[Profit]]/salesdata[[#This Row],[Sales]])*100</f>
        <v>34.315253183696782</v>
      </c>
    </row>
    <row r="35" spans="1:9" ht="14.25">
      <c r="A35" s="1" t="s">
        <v>39</v>
      </c>
      <c r="B35" s="2">
        <f t="shared" si="1"/>
        <v>4</v>
      </c>
      <c r="C35" s="2" t="s">
        <v>29</v>
      </c>
      <c r="D35" s="2" t="s">
        <v>9</v>
      </c>
      <c r="E35" s="2" t="s">
        <v>50</v>
      </c>
      <c r="F35" s="2" t="s">
        <v>11</v>
      </c>
      <c r="G35" s="5">
        <v>2774.29</v>
      </c>
      <c r="H35" s="7">
        <v>454.3</v>
      </c>
      <c r="I35" s="9">
        <f>(salesdata[[#This Row],[Profit]]/salesdata[[#This Row],[Sales]])*100</f>
        <v>16.375360903149996</v>
      </c>
    </row>
    <row r="36" spans="1:9" ht="14.25">
      <c r="A36" s="1" t="s">
        <v>36</v>
      </c>
      <c r="B36" s="2">
        <f t="shared" si="1"/>
        <v>1</v>
      </c>
      <c r="C36" s="2" t="s">
        <v>48</v>
      </c>
      <c r="D36" s="2" t="s">
        <v>9</v>
      </c>
      <c r="E36" s="2" t="s">
        <v>53</v>
      </c>
      <c r="F36" s="2" t="s">
        <v>27</v>
      </c>
      <c r="G36" s="5">
        <v>3788.17</v>
      </c>
      <c r="H36" s="7">
        <v>2227.1799999999998</v>
      </c>
      <c r="I36" s="9">
        <f>(salesdata[[#This Row],[Profit]]/salesdata[[#This Row],[Sales]])*100</f>
        <v>58.793031991700474</v>
      </c>
    </row>
    <row r="37" spans="1:9" ht="14.25">
      <c r="A37" s="1" t="s">
        <v>36</v>
      </c>
      <c r="B37" s="2">
        <f t="shared" si="1"/>
        <v>1</v>
      </c>
      <c r="C37" s="2" t="s">
        <v>31</v>
      </c>
      <c r="D37" s="2" t="s">
        <v>23</v>
      </c>
      <c r="E37" s="2" t="s">
        <v>24</v>
      </c>
      <c r="F37" s="2" t="s">
        <v>33</v>
      </c>
      <c r="G37" s="5">
        <v>5553.06</v>
      </c>
      <c r="H37" s="7">
        <v>2256.86</v>
      </c>
      <c r="I37" s="9">
        <f>(salesdata[[#This Row],[Profit]]/salesdata[[#This Row],[Sales]])*100</f>
        <v>40.641736267931556</v>
      </c>
    </row>
    <row r="38" spans="1:9" ht="14.25">
      <c r="A38" s="1" t="s">
        <v>17</v>
      </c>
      <c r="B38" s="2">
        <f t="shared" si="1"/>
        <v>6</v>
      </c>
      <c r="C38" s="2" t="s">
        <v>48</v>
      </c>
      <c r="D38" s="2" t="s">
        <v>9</v>
      </c>
      <c r="E38" s="2" t="s">
        <v>46</v>
      </c>
      <c r="F38" s="2" t="s">
        <v>47</v>
      </c>
      <c r="G38" s="5">
        <v>7640.85</v>
      </c>
      <c r="H38" s="7">
        <v>4524.8599999999997</v>
      </c>
      <c r="I38" s="9">
        <f>(salesdata[[#This Row],[Profit]]/salesdata[[#This Row],[Sales]])*100</f>
        <v>59.219327692599641</v>
      </c>
    </row>
    <row r="39" spans="1:9" ht="14.25">
      <c r="A39" s="1" t="s">
        <v>28</v>
      </c>
      <c r="B39" s="2">
        <f t="shared" si="1"/>
        <v>3</v>
      </c>
      <c r="C39" s="2" t="s">
        <v>18</v>
      </c>
      <c r="D39" s="2" t="s">
        <v>9</v>
      </c>
      <c r="E39" s="2" t="s">
        <v>46</v>
      </c>
      <c r="F39" s="2" t="s">
        <v>47</v>
      </c>
      <c r="G39" s="5">
        <v>3304.9</v>
      </c>
      <c r="H39" s="7">
        <v>1529.44</v>
      </c>
      <c r="I39" s="9">
        <f>(salesdata[[#This Row],[Profit]]/salesdata[[#This Row],[Sales]])*100</f>
        <v>46.277950921359192</v>
      </c>
    </row>
    <row r="40" spans="1:9" ht="14.25">
      <c r="A40" s="1" t="s">
        <v>25</v>
      </c>
      <c r="B40" s="2">
        <f t="shared" si="1"/>
        <v>2</v>
      </c>
      <c r="C40" s="2" t="s">
        <v>48</v>
      </c>
      <c r="D40" s="2" t="s">
        <v>34</v>
      </c>
      <c r="E40" s="2" t="s">
        <v>35</v>
      </c>
      <c r="F40" s="2" t="s">
        <v>16</v>
      </c>
      <c r="G40" s="5">
        <v>6488.17</v>
      </c>
      <c r="H40" s="7">
        <v>3978.21</v>
      </c>
      <c r="I40" s="9">
        <f>(salesdata[[#This Row],[Profit]]/salesdata[[#This Row],[Sales]])*100</f>
        <v>61.314823748452952</v>
      </c>
    </row>
    <row r="41" spans="1:9" ht="14.25">
      <c r="A41" s="1" t="s">
        <v>54</v>
      </c>
      <c r="B41" s="2">
        <f t="shared" si="1"/>
        <v>9</v>
      </c>
      <c r="C41" s="2" t="s">
        <v>38</v>
      </c>
      <c r="D41" s="2" t="s">
        <v>9</v>
      </c>
      <c r="E41" s="2" t="s">
        <v>53</v>
      </c>
      <c r="F41" s="2" t="s">
        <v>47</v>
      </c>
      <c r="G41" s="5">
        <v>9839.82</v>
      </c>
      <c r="H41" s="7">
        <v>3939.1</v>
      </c>
      <c r="I41" s="9">
        <f>(salesdata[[#This Row],[Profit]]/salesdata[[#This Row],[Sales]])*100</f>
        <v>40.032236362047271</v>
      </c>
    </row>
    <row r="42" spans="1:9" ht="14.25">
      <c r="A42" s="1" t="s">
        <v>22</v>
      </c>
      <c r="B42" s="2">
        <f t="shared" si="1"/>
        <v>12</v>
      </c>
      <c r="C42" s="2" t="s">
        <v>29</v>
      </c>
      <c r="D42" s="2" t="s">
        <v>14</v>
      </c>
      <c r="E42" s="2" t="s">
        <v>15</v>
      </c>
      <c r="F42" s="2" t="s">
        <v>16</v>
      </c>
      <c r="G42" s="5">
        <v>3712.82</v>
      </c>
      <c r="H42" s="7">
        <v>3263.23</v>
      </c>
      <c r="I42" s="9">
        <f>(salesdata[[#This Row],[Profit]]/salesdata[[#This Row],[Sales]])*100</f>
        <v>87.890875399292185</v>
      </c>
    </row>
    <row r="43" spans="1:9" ht="14.25">
      <c r="A43" s="1" t="s">
        <v>37</v>
      </c>
      <c r="B43" s="2">
        <f t="shared" si="1"/>
        <v>7</v>
      </c>
      <c r="C43" s="2" t="s">
        <v>38</v>
      </c>
      <c r="D43" s="2" t="s">
        <v>19</v>
      </c>
      <c r="E43" s="2" t="s">
        <v>41</v>
      </c>
      <c r="F43" s="2" t="s">
        <v>11</v>
      </c>
      <c r="G43" s="5">
        <v>6866.73</v>
      </c>
      <c r="H43" s="7">
        <v>4423.2700000000004</v>
      </c>
      <c r="I43" s="9">
        <f>(salesdata[[#This Row],[Profit]]/salesdata[[#This Row],[Sales]])*100</f>
        <v>64.415959270278591</v>
      </c>
    </row>
    <row r="44" spans="1:9" ht="14.25">
      <c r="A44" s="1" t="s">
        <v>28</v>
      </c>
      <c r="B44" s="2">
        <f t="shared" si="1"/>
        <v>3</v>
      </c>
      <c r="C44" s="2" t="s">
        <v>48</v>
      </c>
      <c r="D44" s="2" t="s">
        <v>23</v>
      </c>
      <c r="E44" s="2" t="s">
        <v>30</v>
      </c>
      <c r="F44" s="2" t="s">
        <v>11</v>
      </c>
      <c r="G44" s="5">
        <v>6460.53</v>
      </c>
      <c r="H44" s="7">
        <v>745.41</v>
      </c>
      <c r="I44" s="9">
        <f>(salesdata[[#This Row],[Profit]]/salesdata[[#This Row],[Sales]])*100</f>
        <v>11.537907880622797</v>
      </c>
    </row>
    <row r="45" spans="1:9" ht="14.25">
      <c r="A45" s="1" t="s">
        <v>7</v>
      </c>
      <c r="B45" s="2">
        <f t="shared" si="1"/>
        <v>5</v>
      </c>
      <c r="C45" s="2" t="s">
        <v>18</v>
      </c>
      <c r="D45" s="2" t="s">
        <v>9</v>
      </c>
      <c r="E45" s="2" t="s">
        <v>53</v>
      </c>
      <c r="F45" s="2" t="s">
        <v>21</v>
      </c>
      <c r="G45" s="5">
        <v>9990.16</v>
      </c>
      <c r="H45" s="7">
        <v>7152.55</v>
      </c>
      <c r="I45" s="9">
        <f>(salesdata[[#This Row],[Profit]]/salesdata[[#This Row],[Sales]])*100</f>
        <v>71.595950415208563</v>
      </c>
    </row>
    <row r="46" spans="1:9" ht="14.25">
      <c r="A46" s="1" t="s">
        <v>25</v>
      </c>
      <c r="B46" s="2">
        <f t="shared" si="1"/>
        <v>2</v>
      </c>
      <c r="C46" s="2" t="s">
        <v>29</v>
      </c>
      <c r="D46" s="2" t="s">
        <v>14</v>
      </c>
      <c r="E46" s="2" t="s">
        <v>45</v>
      </c>
      <c r="F46" s="2" t="s">
        <v>11</v>
      </c>
      <c r="G46" s="5">
        <v>5484.24</v>
      </c>
      <c r="H46" s="7">
        <v>1310.53</v>
      </c>
      <c r="I46" s="9">
        <f>(salesdata[[#This Row],[Profit]]/salesdata[[#This Row],[Sales]])*100</f>
        <v>23.896291920120198</v>
      </c>
    </row>
    <row r="47" spans="1:9" ht="14.25">
      <c r="A47" s="1" t="s">
        <v>37</v>
      </c>
      <c r="B47" s="2">
        <f t="shared" si="1"/>
        <v>7</v>
      </c>
      <c r="C47" s="2" t="s">
        <v>31</v>
      </c>
      <c r="D47" s="2" t="s">
        <v>34</v>
      </c>
      <c r="E47" s="2" t="s">
        <v>49</v>
      </c>
      <c r="F47" s="2" t="s">
        <v>47</v>
      </c>
      <c r="G47" s="5">
        <v>2308.25</v>
      </c>
      <c r="H47" s="7">
        <v>1842.98</v>
      </c>
      <c r="I47" s="9">
        <f>(salesdata[[#This Row],[Profit]]/salesdata[[#This Row],[Sales]])*100</f>
        <v>79.843171233618548</v>
      </c>
    </row>
    <row r="48" spans="1:9" ht="14.25">
      <c r="A48" s="1" t="s">
        <v>12</v>
      </c>
      <c r="B48" s="2">
        <f t="shared" si="1"/>
        <v>11</v>
      </c>
      <c r="C48" s="2" t="s">
        <v>38</v>
      </c>
      <c r="D48" s="2" t="s">
        <v>34</v>
      </c>
      <c r="E48" s="2" t="s">
        <v>43</v>
      </c>
      <c r="F48" s="2" t="s">
        <v>21</v>
      </c>
      <c r="G48" s="5">
        <v>2676.37</v>
      </c>
      <c r="H48" s="7">
        <v>1010.73</v>
      </c>
      <c r="I48" s="9">
        <f>(salesdata[[#This Row],[Profit]]/salesdata[[#This Row],[Sales]])*100</f>
        <v>37.764957759950981</v>
      </c>
    </row>
    <row r="49" spans="1:9" ht="14.25">
      <c r="A49" s="1" t="s">
        <v>40</v>
      </c>
      <c r="B49" s="2">
        <f t="shared" si="1"/>
        <v>8</v>
      </c>
      <c r="C49" s="2" t="s">
        <v>48</v>
      </c>
      <c r="D49" s="2" t="s">
        <v>19</v>
      </c>
      <c r="E49" s="2" t="s">
        <v>20</v>
      </c>
      <c r="F49" s="2" t="s">
        <v>47</v>
      </c>
      <c r="G49" s="5">
        <v>7227.06</v>
      </c>
      <c r="H49" s="7">
        <v>5149.08</v>
      </c>
      <c r="I49" s="9">
        <f>(salesdata[[#This Row],[Profit]]/salesdata[[#This Row],[Sales]])*100</f>
        <v>71.247229163726317</v>
      </c>
    </row>
    <row r="50" spans="1:9" ht="14.25">
      <c r="A50" s="1" t="s">
        <v>36</v>
      </c>
      <c r="B50" s="2">
        <f t="shared" si="1"/>
        <v>1</v>
      </c>
      <c r="C50" s="2" t="s">
        <v>31</v>
      </c>
      <c r="D50" s="2" t="s">
        <v>34</v>
      </c>
      <c r="E50" s="2" t="s">
        <v>49</v>
      </c>
      <c r="F50" s="2" t="s">
        <v>27</v>
      </c>
      <c r="G50" s="5">
        <v>5372.31</v>
      </c>
      <c r="H50" s="7">
        <v>4233.07</v>
      </c>
      <c r="I50" s="9">
        <f>(salesdata[[#This Row],[Profit]]/salesdata[[#This Row],[Sales]])*100</f>
        <v>78.794224458380086</v>
      </c>
    </row>
    <row r="51" spans="1:9" ht="14.25">
      <c r="A51" s="1" t="s">
        <v>36</v>
      </c>
      <c r="B51" s="2">
        <f t="shared" si="1"/>
        <v>1</v>
      </c>
      <c r="C51" s="2" t="s">
        <v>38</v>
      </c>
      <c r="D51" s="2" t="s">
        <v>34</v>
      </c>
      <c r="E51" s="2" t="s">
        <v>35</v>
      </c>
      <c r="F51" s="2" t="s">
        <v>21</v>
      </c>
      <c r="G51" s="5">
        <v>8701.17</v>
      </c>
      <c r="H51" s="7">
        <v>4410.42</v>
      </c>
      <c r="I51" s="9">
        <f>(salesdata[[#This Row],[Profit]]/salesdata[[#This Row],[Sales]])*100</f>
        <v>50.687666141449938</v>
      </c>
    </row>
    <row r="52" spans="1:9" ht="14.25">
      <c r="A52" s="1" t="s">
        <v>17</v>
      </c>
      <c r="B52" s="2">
        <f t="shared" si="1"/>
        <v>6</v>
      </c>
      <c r="C52" s="2" t="s">
        <v>48</v>
      </c>
      <c r="D52" s="2" t="s">
        <v>19</v>
      </c>
      <c r="E52" s="2" t="s">
        <v>52</v>
      </c>
      <c r="F52" s="2" t="s">
        <v>47</v>
      </c>
      <c r="G52" s="5">
        <v>3021.68</v>
      </c>
      <c r="H52" s="7">
        <v>655.8</v>
      </c>
      <c r="I52" s="9">
        <f>(salesdata[[#This Row],[Profit]]/salesdata[[#This Row],[Sales]])*100</f>
        <v>21.703158507849938</v>
      </c>
    </row>
    <row r="53" spans="1:9" ht="14.25">
      <c r="A53" s="1" t="s">
        <v>25</v>
      </c>
      <c r="B53" s="2">
        <f t="shared" si="1"/>
        <v>2</v>
      </c>
      <c r="C53" s="2" t="s">
        <v>31</v>
      </c>
      <c r="D53" s="2" t="s">
        <v>34</v>
      </c>
      <c r="E53" s="2" t="s">
        <v>49</v>
      </c>
      <c r="F53" s="2" t="s">
        <v>47</v>
      </c>
      <c r="G53" s="5">
        <v>8956.6299999999992</v>
      </c>
      <c r="H53" s="7">
        <v>4038.86</v>
      </c>
      <c r="I53" s="9">
        <f>(salesdata[[#This Row],[Profit]]/salesdata[[#This Row],[Sales]])*100</f>
        <v>45.093522898679531</v>
      </c>
    </row>
    <row r="54" spans="1:9" ht="14.25">
      <c r="A54" s="1" t="s">
        <v>37</v>
      </c>
      <c r="B54" s="2">
        <f t="shared" si="1"/>
        <v>7</v>
      </c>
      <c r="C54" s="2" t="s">
        <v>38</v>
      </c>
      <c r="D54" s="2" t="s">
        <v>14</v>
      </c>
      <c r="E54" s="2" t="s">
        <v>42</v>
      </c>
      <c r="F54" s="2" t="s">
        <v>11</v>
      </c>
      <c r="G54" s="5">
        <v>3598.37</v>
      </c>
      <c r="H54" s="7">
        <v>2396.0500000000002</v>
      </c>
      <c r="I54" s="9">
        <f>(salesdata[[#This Row],[Profit]]/salesdata[[#This Row],[Sales]])*100</f>
        <v>66.587093600713672</v>
      </c>
    </row>
    <row r="55" spans="1:9" ht="14.25">
      <c r="A55" s="1" t="s">
        <v>54</v>
      </c>
      <c r="B55" s="2">
        <f t="shared" si="1"/>
        <v>9</v>
      </c>
      <c r="C55" s="2" t="s">
        <v>13</v>
      </c>
      <c r="D55" s="2" t="s">
        <v>19</v>
      </c>
      <c r="E55" s="2" t="s">
        <v>41</v>
      </c>
      <c r="F55" s="2" t="s">
        <v>47</v>
      </c>
      <c r="G55" s="5">
        <v>2727.34</v>
      </c>
      <c r="H55" s="7">
        <v>1513.75</v>
      </c>
      <c r="I55" s="9">
        <f>(salesdata[[#This Row],[Profit]]/salesdata[[#This Row],[Sales]])*100</f>
        <v>55.50279759765926</v>
      </c>
    </row>
    <row r="56" spans="1:9" ht="14.25">
      <c r="A56" s="1" t="s">
        <v>28</v>
      </c>
      <c r="B56" s="2">
        <f t="shared" si="1"/>
        <v>3</v>
      </c>
      <c r="C56" s="2" t="s">
        <v>8</v>
      </c>
      <c r="D56" s="2" t="s">
        <v>23</v>
      </c>
      <c r="E56" s="2" t="s">
        <v>55</v>
      </c>
      <c r="F56" s="2" t="s">
        <v>11</v>
      </c>
      <c r="G56" s="5">
        <v>9937.5499999999993</v>
      </c>
      <c r="H56" s="7">
        <v>7188.04</v>
      </c>
      <c r="I56" s="9">
        <f>(salesdata[[#This Row],[Profit]]/salesdata[[#This Row],[Sales]])*100</f>
        <v>72.332114052256344</v>
      </c>
    </row>
    <row r="57" spans="1:9" ht="14.25">
      <c r="A57" s="1" t="s">
        <v>12</v>
      </c>
      <c r="B57" s="2">
        <f t="shared" si="1"/>
        <v>11</v>
      </c>
      <c r="C57" s="2" t="s">
        <v>29</v>
      </c>
      <c r="D57" s="2" t="s">
        <v>14</v>
      </c>
      <c r="E57" s="2" t="s">
        <v>15</v>
      </c>
      <c r="F57" s="2" t="s">
        <v>11</v>
      </c>
      <c r="G57" s="5">
        <v>5381.29</v>
      </c>
      <c r="H57" s="7">
        <v>1610.64</v>
      </c>
      <c r="I57" s="9">
        <f>(salesdata[[#This Row],[Profit]]/salesdata[[#This Row],[Sales]])*100</f>
        <v>29.930369855555085</v>
      </c>
    </row>
    <row r="58" spans="1:9" ht="14.25">
      <c r="A58" s="1" t="s">
        <v>39</v>
      </c>
      <c r="B58" s="2">
        <f t="shared" si="1"/>
        <v>4</v>
      </c>
      <c r="C58" s="2" t="s">
        <v>13</v>
      </c>
      <c r="D58" s="2" t="s">
        <v>34</v>
      </c>
      <c r="E58" s="2" t="s">
        <v>35</v>
      </c>
      <c r="F58" s="2" t="s">
        <v>11</v>
      </c>
      <c r="G58" s="5">
        <v>9712.16</v>
      </c>
      <c r="H58" s="7">
        <v>6861.75</v>
      </c>
      <c r="I58" s="9">
        <f>(salesdata[[#This Row],[Profit]]/salesdata[[#This Row],[Sales]])*100</f>
        <v>70.65112189255531</v>
      </c>
    </row>
    <row r="59" spans="1:9" ht="14.25">
      <c r="A59" s="1" t="s">
        <v>36</v>
      </c>
      <c r="B59" s="2">
        <f t="shared" si="1"/>
        <v>1</v>
      </c>
      <c r="C59" s="2" t="s">
        <v>29</v>
      </c>
      <c r="D59" s="2" t="s">
        <v>34</v>
      </c>
      <c r="E59" s="2" t="s">
        <v>35</v>
      </c>
      <c r="F59" s="2" t="s">
        <v>16</v>
      </c>
      <c r="G59" s="5">
        <v>9104.2900000000009</v>
      </c>
      <c r="H59" s="7">
        <v>4342.49</v>
      </c>
      <c r="I59" s="9">
        <f>(salesdata[[#This Row],[Profit]]/salesdata[[#This Row],[Sales]])*100</f>
        <v>47.697184514113665</v>
      </c>
    </row>
    <row r="60" spans="1:9" ht="14.25">
      <c r="A60" s="1" t="s">
        <v>25</v>
      </c>
      <c r="B60" s="2">
        <f t="shared" si="1"/>
        <v>2</v>
      </c>
      <c r="C60" s="2" t="s">
        <v>8</v>
      </c>
      <c r="D60" s="2" t="s">
        <v>14</v>
      </c>
      <c r="E60" s="2" t="s">
        <v>45</v>
      </c>
      <c r="F60" s="2" t="s">
        <v>11</v>
      </c>
      <c r="G60" s="5">
        <v>612.22</v>
      </c>
      <c r="H60" s="7">
        <v>81.2</v>
      </c>
      <c r="I60" s="9">
        <f>(salesdata[[#This Row],[Profit]]/salesdata[[#This Row],[Sales]])*100</f>
        <v>13.263206037045505</v>
      </c>
    </row>
    <row r="61" spans="1:9" ht="14.25">
      <c r="A61" s="1" t="s">
        <v>37</v>
      </c>
      <c r="B61" s="2">
        <f t="shared" si="1"/>
        <v>7</v>
      </c>
      <c r="C61" s="2" t="s">
        <v>13</v>
      </c>
      <c r="D61" s="2" t="s">
        <v>23</v>
      </c>
      <c r="E61" s="2" t="s">
        <v>24</v>
      </c>
      <c r="F61" s="2" t="s">
        <v>11</v>
      </c>
      <c r="G61" s="5">
        <v>1254.8</v>
      </c>
      <c r="H61" s="7">
        <v>348.34</v>
      </c>
      <c r="I61" s="9">
        <f>(salesdata[[#This Row],[Profit]]/salesdata[[#This Row],[Sales]])*100</f>
        <v>27.760599298693016</v>
      </c>
    </row>
    <row r="62" spans="1:9" ht="14.25">
      <c r="A62" s="1" t="s">
        <v>17</v>
      </c>
      <c r="B62" s="2">
        <f t="shared" si="1"/>
        <v>6</v>
      </c>
      <c r="C62" s="2" t="s">
        <v>8</v>
      </c>
      <c r="D62" s="2" t="s">
        <v>34</v>
      </c>
      <c r="E62" s="2" t="s">
        <v>43</v>
      </c>
      <c r="F62" s="2" t="s">
        <v>21</v>
      </c>
      <c r="G62" s="5">
        <v>7302.14</v>
      </c>
      <c r="H62" s="7">
        <v>212.01</v>
      </c>
      <c r="I62" s="9">
        <f>(salesdata[[#This Row],[Profit]]/salesdata[[#This Row],[Sales]])*100</f>
        <v>2.9033954429797291</v>
      </c>
    </row>
    <row r="63" spans="1:9" ht="14.25">
      <c r="A63" s="1" t="s">
        <v>54</v>
      </c>
      <c r="B63" s="2">
        <f t="shared" si="1"/>
        <v>9</v>
      </c>
      <c r="C63" s="2" t="s">
        <v>31</v>
      </c>
      <c r="D63" s="2" t="s">
        <v>34</v>
      </c>
      <c r="E63" s="2" t="s">
        <v>35</v>
      </c>
      <c r="F63" s="2" t="s">
        <v>33</v>
      </c>
      <c r="G63" s="5">
        <v>7622.37</v>
      </c>
      <c r="H63" s="7">
        <v>4974.68</v>
      </c>
      <c r="I63" s="9">
        <f>(salesdata[[#This Row],[Profit]]/salesdata[[#This Row],[Sales]])*100</f>
        <v>65.264215722931326</v>
      </c>
    </row>
    <row r="64" spans="1:9" ht="14.25">
      <c r="A64" s="1" t="s">
        <v>7</v>
      </c>
      <c r="B64" s="2">
        <f t="shared" si="1"/>
        <v>5</v>
      </c>
      <c r="C64" s="2" t="s">
        <v>31</v>
      </c>
      <c r="D64" s="2" t="s">
        <v>19</v>
      </c>
      <c r="E64" s="2" t="s">
        <v>41</v>
      </c>
      <c r="F64" s="2" t="s">
        <v>47</v>
      </c>
      <c r="G64" s="5">
        <v>2560.33</v>
      </c>
      <c r="H64" s="7">
        <v>1580.31</v>
      </c>
      <c r="I64" s="9">
        <f>(salesdata[[#This Row],[Profit]]/salesdata[[#This Row],[Sales]])*100</f>
        <v>61.722902907047143</v>
      </c>
    </row>
    <row r="65" spans="1:9" ht="14.25">
      <c r="A65" s="1" t="s">
        <v>7</v>
      </c>
      <c r="B65" s="2">
        <f t="shared" si="1"/>
        <v>5</v>
      </c>
      <c r="C65" s="2" t="s">
        <v>8</v>
      </c>
      <c r="D65" s="2" t="s">
        <v>23</v>
      </c>
      <c r="E65" s="2" t="s">
        <v>24</v>
      </c>
      <c r="F65" s="2" t="s">
        <v>11</v>
      </c>
      <c r="G65" s="5">
        <v>2340.3000000000002</v>
      </c>
      <c r="H65" s="7">
        <v>297.27</v>
      </c>
      <c r="I65" s="9">
        <f>(salesdata[[#This Row],[Profit]]/salesdata[[#This Row],[Sales]])*100</f>
        <v>12.702217664401999</v>
      </c>
    </row>
    <row r="66" spans="1:9" ht="14.25">
      <c r="A66" s="1" t="s">
        <v>28</v>
      </c>
      <c r="B66" s="2">
        <f t="shared" ref="B66:B97" si="2">MONTH(DATEVALUE(A66 &amp; " 1"))</f>
        <v>3</v>
      </c>
      <c r="C66" s="2" t="s">
        <v>38</v>
      </c>
      <c r="D66" s="2" t="s">
        <v>14</v>
      </c>
      <c r="E66" s="2" t="s">
        <v>45</v>
      </c>
      <c r="F66" s="2" t="s">
        <v>21</v>
      </c>
      <c r="G66" s="5">
        <v>8967.25</v>
      </c>
      <c r="H66" s="7">
        <v>1088.21</v>
      </c>
      <c r="I66" s="9">
        <f>(salesdata[[#This Row],[Profit]]/salesdata[[#This Row],[Sales]])*100</f>
        <v>12.135381527224066</v>
      </c>
    </row>
    <row r="67" spans="1:9" ht="14.25">
      <c r="A67" s="1" t="s">
        <v>51</v>
      </c>
      <c r="B67" s="2">
        <f t="shared" si="2"/>
        <v>10</v>
      </c>
      <c r="C67" s="2" t="s">
        <v>38</v>
      </c>
      <c r="D67" s="2" t="s">
        <v>9</v>
      </c>
      <c r="E67" s="2" t="s">
        <v>46</v>
      </c>
      <c r="F67" s="2" t="s">
        <v>21</v>
      </c>
      <c r="G67" s="5">
        <v>7815.24</v>
      </c>
      <c r="H67" s="7">
        <v>4640.09</v>
      </c>
      <c r="I67" s="9">
        <f>(salesdata[[#This Row],[Profit]]/salesdata[[#This Row],[Sales]])*100</f>
        <v>59.372328936795292</v>
      </c>
    </row>
    <row r="68" spans="1:9" ht="14.25">
      <c r="A68" s="1" t="s">
        <v>51</v>
      </c>
      <c r="B68" s="2">
        <f t="shared" si="2"/>
        <v>10</v>
      </c>
      <c r="C68" s="2" t="s">
        <v>18</v>
      </c>
      <c r="D68" s="2" t="s">
        <v>14</v>
      </c>
      <c r="E68" s="2" t="s">
        <v>26</v>
      </c>
      <c r="F68" s="2" t="s">
        <v>21</v>
      </c>
      <c r="G68" s="5">
        <v>1269.5999999999999</v>
      </c>
      <c r="H68" s="7">
        <v>1097.05</v>
      </c>
      <c r="I68" s="9">
        <f>(salesdata[[#This Row],[Profit]]/salesdata[[#This Row],[Sales]])*100</f>
        <v>86.409105229993699</v>
      </c>
    </row>
    <row r="69" spans="1:9" ht="14.25">
      <c r="A69" s="1" t="s">
        <v>36</v>
      </c>
      <c r="B69" s="2">
        <f t="shared" si="2"/>
        <v>1</v>
      </c>
      <c r="C69" s="2" t="s">
        <v>31</v>
      </c>
      <c r="D69" s="2" t="s">
        <v>34</v>
      </c>
      <c r="E69" s="2" t="s">
        <v>56</v>
      </c>
      <c r="F69" s="2" t="s">
        <v>16</v>
      </c>
      <c r="G69" s="5">
        <v>6333.05</v>
      </c>
      <c r="H69" s="7">
        <v>4493.8100000000004</v>
      </c>
      <c r="I69" s="9">
        <f>(salesdata[[#This Row],[Profit]]/salesdata[[#This Row],[Sales]])*100</f>
        <v>70.958069176778977</v>
      </c>
    </row>
    <row r="70" spans="1:9" ht="14.25">
      <c r="A70" s="1" t="s">
        <v>17</v>
      </c>
      <c r="B70" s="2">
        <f t="shared" si="2"/>
        <v>6</v>
      </c>
      <c r="C70" s="2" t="s">
        <v>13</v>
      </c>
      <c r="D70" s="2" t="s">
        <v>19</v>
      </c>
      <c r="E70" s="2" t="s">
        <v>32</v>
      </c>
      <c r="F70" s="2" t="s">
        <v>21</v>
      </c>
      <c r="G70" s="5">
        <v>2894.66</v>
      </c>
      <c r="H70" s="7">
        <v>2417.04</v>
      </c>
      <c r="I70" s="9">
        <f>(salesdata[[#This Row],[Profit]]/salesdata[[#This Row],[Sales]])*100</f>
        <v>83.499961998991239</v>
      </c>
    </row>
    <row r="71" spans="1:9" ht="14.25">
      <c r="A71" s="1" t="s">
        <v>17</v>
      </c>
      <c r="B71" s="2">
        <f t="shared" si="2"/>
        <v>6</v>
      </c>
      <c r="C71" s="2" t="s">
        <v>38</v>
      </c>
      <c r="D71" s="2" t="s">
        <v>14</v>
      </c>
      <c r="E71" s="2" t="s">
        <v>15</v>
      </c>
      <c r="F71" s="2" t="s">
        <v>11</v>
      </c>
      <c r="G71" s="5">
        <v>6710.53</v>
      </c>
      <c r="H71" s="7">
        <v>4605.67</v>
      </c>
      <c r="I71" s="9">
        <f>(salesdata[[#This Row],[Profit]]/salesdata[[#This Row],[Sales]])*100</f>
        <v>68.633476044366091</v>
      </c>
    </row>
    <row r="72" spans="1:9" ht="14.25">
      <c r="A72" s="1" t="s">
        <v>12</v>
      </c>
      <c r="B72" s="2">
        <f t="shared" si="2"/>
        <v>11</v>
      </c>
      <c r="C72" s="2" t="s">
        <v>31</v>
      </c>
      <c r="D72" s="2" t="s">
        <v>23</v>
      </c>
      <c r="E72" s="2" t="s">
        <v>30</v>
      </c>
      <c r="F72" s="2" t="s">
        <v>47</v>
      </c>
      <c r="G72" s="5">
        <v>2832.91</v>
      </c>
      <c r="H72" s="7">
        <v>2464.64</v>
      </c>
      <c r="I72" s="9">
        <f>(salesdata[[#This Row],[Profit]]/salesdata[[#This Row],[Sales]])*100</f>
        <v>87.000292984951869</v>
      </c>
    </row>
    <row r="73" spans="1:9" ht="14.25">
      <c r="A73" s="1" t="s">
        <v>36</v>
      </c>
      <c r="B73" s="2">
        <f t="shared" si="2"/>
        <v>1</v>
      </c>
      <c r="C73" s="2" t="s">
        <v>38</v>
      </c>
      <c r="D73" s="2" t="s">
        <v>23</v>
      </c>
      <c r="E73" s="2" t="s">
        <v>55</v>
      </c>
      <c r="F73" s="2" t="s">
        <v>21</v>
      </c>
      <c r="G73" s="5">
        <v>3711.91</v>
      </c>
      <c r="H73" s="7">
        <v>911.44</v>
      </c>
      <c r="I73" s="9">
        <f>(salesdata[[#This Row],[Profit]]/salesdata[[#This Row],[Sales]])*100</f>
        <v>24.554474650516852</v>
      </c>
    </row>
    <row r="74" spans="1:9" ht="14.25">
      <c r="A74" s="1" t="s">
        <v>39</v>
      </c>
      <c r="B74" s="2">
        <f t="shared" si="2"/>
        <v>4</v>
      </c>
      <c r="C74" s="2" t="s">
        <v>18</v>
      </c>
      <c r="D74" s="2" t="s">
        <v>19</v>
      </c>
      <c r="E74" s="2" t="s">
        <v>32</v>
      </c>
      <c r="F74" s="2" t="s">
        <v>33</v>
      </c>
      <c r="G74" s="5">
        <v>5574.28</v>
      </c>
      <c r="H74" s="7">
        <v>697.25</v>
      </c>
      <c r="I74" s="9">
        <f>(salesdata[[#This Row],[Profit]]/salesdata[[#This Row],[Sales]])*100</f>
        <v>12.508341884512438</v>
      </c>
    </row>
    <row r="75" spans="1:9" ht="14.25">
      <c r="A75" s="1" t="s">
        <v>40</v>
      </c>
      <c r="B75" s="2">
        <f t="shared" si="2"/>
        <v>8</v>
      </c>
      <c r="C75" s="2" t="s">
        <v>31</v>
      </c>
      <c r="D75" s="2" t="s">
        <v>14</v>
      </c>
      <c r="E75" s="2" t="s">
        <v>26</v>
      </c>
      <c r="F75" s="2" t="s">
        <v>16</v>
      </c>
      <c r="G75" s="5">
        <v>5732.96</v>
      </c>
      <c r="H75" s="7">
        <v>195.59</v>
      </c>
      <c r="I75" s="9">
        <f>(salesdata[[#This Row],[Profit]]/salesdata[[#This Row],[Sales]])*100</f>
        <v>3.411675643995423</v>
      </c>
    </row>
    <row r="76" spans="1:9" ht="14.25">
      <c r="A76" s="1" t="s">
        <v>12</v>
      </c>
      <c r="B76" s="2">
        <f t="shared" si="2"/>
        <v>11</v>
      </c>
      <c r="C76" s="2" t="s">
        <v>48</v>
      </c>
      <c r="D76" s="2" t="s">
        <v>34</v>
      </c>
      <c r="E76" s="2" t="s">
        <v>35</v>
      </c>
      <c r="F76" s="2" t="s">
        <v>11</v>
      </c>
      <c r="G76" s="5">
        <v>8381.41</v>
      </c>
      <c r="H76" s="7">
        <v>6322.48</v>
      </c>
      <c r="I76" s="9">
        <f>(salesdata[[#This Row],[Profit]]/salesdata[[#This Row],[Sales]])*100</f>
        <v>75.434562919604218</v>
      </c>
    </row>
    <row r="77" spans="1:9" ht="14.25">
      <c r="A77" s="1" t="s">
        <v>36</v>
      </c>
      <c r="B77" s="2">
        <f t="shared" si="2"/>
        <v>1</v>
      </c>
      <c r="C77" s="2" t="s">
        <v>18</v>
      </c>
      <c r="D77" s="2" t="s">
        <v>14</v>
      </c>
      <c r="E77" s="2" t="s">
        <v>45</v>
      </c>
      <c r="F77" s="2" t="s">
        <v>33</v>
      </c>
      <c r="G77" s="5">
        <v>6715.85</v>
      </c>
      <c r="H77" s="7">
        <v>5193.37</v>
      </c>
      <c r="I77" s="9">
        <f>(salesdata[[#This Row],[Profit]]/salesdata[[#This Row],[Sales]])*100</f>
        <v>77.330047574022643</v>
      </c>
    </row>
    <row r="78" spans="1:9" ht="14.25">
      <c r="A78" s="1" t="s">
        <v>40</v>
      </c>
      <c r="B78" s="2">
        <f t="shared" si="2"/>
        <v>8</v>
      </c>
      <c r="C78" s="2" t="s">
        <v>38</v>
      </c>
      <c r="D78" s="2" t="s">
        <v>9</v>
      </c>
      <c r="E78" s="2" t="s">
        <v>53</v>
      </c>
      <c r="F78" s="2" t="s">
        <v>27</v>
      </c>
      <c r="G78" s="5">
        <v>1999.52</v>
      </c>
      <c r="H78" s="7">
        <v>676.28</v>
      </c>
      <c r="I78" s="9">
        <f>(salesdata[[#This Row],[Profit]]/salesdata[[#This Row],[Sales]])*100</f>
        <v>33.822117308153956</v>
      </c>
    </row>
    <row r="79" spans="1:9" ht="14.25">
      <c r="A79" s="1" t="s">
        <v>28</v>
      </c>
      <c r="B79" s="2">
        <f t="shared" si="2"/>
        <v>3</v>
      </c>
      <c r="C79" s="2" t="s">
        <v>13</v>
      </c>
      <c r="D79" s="2" t="s">
        <v>19</v>
      </c>
      <c r="E79" s="2" t="s">
        <v>32</v>
      </c>
      <c r="F79" s="2" t="s">
        <v>21</v>
      </c>
      <c r="G79" s="5">
        <v>600.72</v>
      </c>
      <c r="H79" s="7">
        <v>139.96</v>
      </c>
      <c r="I79" s="9">
        <f>(salesdata[[#This Row],[Profit]]/salesdata[[#This Row],[Sales]])*100</f>
        <v>23.298708216806499</v>
      </c>
    </row>
    <row r="80" spans="1:9" ht="14.25">
      <c r="A80" s="1" t="s">
        <v>7</v>
      </c>
      <c r="B80" s="2">
        <f t="shared" si="2"/>
        <v>5</v>
      </c>
      <c r="C80" s="2" t="s">
        <v>29</v>
      </c>
      <c r="D80" s="2" t="s">
        <v>14</v>
      </c>
      <c r="E80" s="2" t="s">
        <v>42</v>
      </c>
      <c r="F80" s="2" t="s">
        <v>11</v>
      </c>
      <c r="G80" s="5">
        <v>2127.62</v>
      </c>
      <c r="H80" s="7">
        <v>31.04</v>
      </c>
      <c r="I80" s="9">
        <f>(salesdata[[#This Row],[Profit]]/salesdata[[#This Row],[Sales]])*100</f>
        <v>1.4589071356727235</v>
      </c>
    </row>
    <row r="81" spans="1:9" ht="14.25">
      <c r="A81" s="1" t="s">
        <v>25</v>
      </c>
      <c r="B81" s="2">
        <f t="shared" si="2"/>
        <v>2</v>
      </c>
      <c r="C81" s="2" t="s">
        <v>48</v>
      </c>
      <c r="D81" s="2" t="s">
        <v>14</v>
      </c>
      <c r="E81" s="2" t="s">
        <v>42</v>
      </c>
      <c r="F81" s="2" t="s">
        <v>11</v>
      </c>
      <c r="G81" s="5">
        <v>3735.72</v>
      </c>
      <c r="H81" s="7">
        <v>2694.71</v>
      </c>
      <c r="I81" s="9">
        <f>(salesdata[[#This Row],[Profit]]/salesdata[[#This Row],[Sales]])*100</f>
        <v>72.133618151253316</v>
      </c>
    </row>
    <row r="82" spans="1:9" ht="14.25">
      <c r="A82" s="1" t="s">
        <v>39</v>
      </c>
      <c r="B82" s="2">
        <f t="shared" si="2"/>
        <v>4</v>
      </c>
      <c r="C82" s="2" t="s">
        <v>48</v>
      </c>
      <c r="D82" s="2" t="s">
        <v>19</v>
      </c>
      <c r="E82" s="2" t="s">
        <v>20</v>
      </c>
      <c r="F82" s="2" t="s">
        <v>21</v>
      </c>
      <c r="G82" s="5">
        <v>2856.86</v>
      </c>
      <c r="H82" s="7">
        <v>2120.92</v>
      </c>
      <c r="I82" s="9">
        <f>(salesdata[[#This Row],[Profit]]/salesdata[[#This Row],[Sales]])*100</f>
        <v>74.23954971542183</v>
      </c>
    </row>
    <row r="83" spans="1:9" ht="14.25">
      <c r="A83" s="1" t="s">
        <v>22</v>
      </c>
      <c r="B83" s="2">
        <f t="shared" si="2"/>
        <v>12</v>
      </c>
      <c r="C83" s="2" t="s">
        <v>13</v>
      </c>
      <c r="D83" s="2" t="s">
        <v>34</v>
      </c>
      <c r="E83" s="2" t="s">
        <v>35</v>
      </c>
      <c r="F83" s="2" t="s">
        <v>47</v>
      </c>
      <c r="G83" s="5">
        <v>1342.77</v>
      </c>
      <c r="H83" s="7">
        <v>980.78</v>
      </c>
      <c r="I83" s="9">
        <f>(salesdata[[#This Row],[Profit]]/salesdata[[#This Row],[Sales]])*100</f>
        <v>73.041548440909466</v>
      </c>
    </row>
    <row r="84" spans="1:9" ht="14.25">
      <c r="A84" s="1" t="s">
        <v>28</v>
      </c>
      <c r="B84" s="2">
        <f t="shared" si="2"/>
        <v>3</v>
      </c>
      <c r="C84" s="2" t="s">
        <v>48</v>
      </c>
      <c r="D84" s="2" t="s">
        <v>14</v>
      </c>
      <c r="E84" s="2" t="s">
        <v>15</v>
      </c>
      <c r="F84" s="2" t="s">
        <v>16</v>
      </c>
      <c r="G84" s="5">
        <v>4869.2299999999996</v>
      </c>
      <c r="H84" s="7">
        <v>3917.47</v>
      </c>
      <c r="I84" s="9">
        <f>(salesdata[[#This Row],[Profit]]/salesdata[[#This Row],[Sales]])*100</f>
        <v>80.45358301004471</v>
      </c>
    </row>
    <row r="85" spans="1:9" ht="14.25">
      <c r="A85" s="1" t="s">
        <v>54</v>
      </c>
      <c r="B85" s="2">
        <f t="shared" si="2"/>
        <v>9</v>
      </c>
      <c r="C85" s="2" t="s">
        <v>38</v>
      </c>
      <c r="D85" s="2" t="s">
        <v>19</v>
      </c>
      <c r="E85" s="2" t="s">
        <v>32</v>
      </c>
      <c r="F85" s="2" t="s">
        <v>11</v>
      </c>
      <c r="G85" s="5">
        <v>5444.61</v>
      </c>
      <c r="H85" s="7">
        <v>1132.7</v>
      </c>
      <c r="I85" s="9">
        <f>(salesdata[[#This Row],[Profit]]/salesdata[[#This Row],[Sales]])*100</f>
        <v>20.80406126425952</v>
      </c>
    </row>
    <row r="86" spans="1:9" ht="14.25">
      <c r="A86" s="1" t="s">
        <v>22</v>
      </c>
      <c r="B86" s="2">
        <f t="shared" si="2"/>
        <v>12</v>
      </c>
      <c r="C86" s="2" t="s">
        <v>18</v>
      </c>
      <c r="D86" s="2" t="s">
        <v>9</v>
      </c>
      <c r="E86" s="2" t="s">
        <v>10</v>
      </c>
      <c r="F86" s="2" t="s">
        <v>11</v>
      </c>
      <c r="G86" s="5">
        <v>5891.91</v>
      </c>
      <c r="H86" s="7">
        <v>445.9</v>
      </c>
      <c r="I86" s="9">
        <f>(salesdata[[#This Row],[Profit]]/salesdata[[#This Row],[Sales]])*100</f>
        <v>7.568004263473135</v>
      </c>
    </row>
    <row r="87" spans="1:9" ht="14.25">
      <c r="A87" s="1" t="s">
        <v>51</v>
      </c>
      <c r="B87" s="2">
        <f t="shared" si="2"/>
        <v>10</v>
      </c>
      <c r="C87" s="2" t="s">
        <v>18</v>
      </c>
      <c r="D87" s="2" t="s">
        <v>23</v>
      </c>
      <c r="E87" s="2" t="s">
        <v>24</v>
      </c>
      <c r="F87" s="2" t="s">
        <v>33</v>
      </c>
      <c r="G87" s="5">
        <v>949.88</v>
      </c>
      <c r="H87" s="7">
        <v>578.25</v>
      </c>
      <c r="I87" s="9">
        <f>(salesdata[[#This Row],[Profit]]/salesdata[[#This Row],[Sales]])*100</f>
        <v>60.876110666610515</v>
      </c>
    </row>
    <row r="88" spans="1:9" ht="14.25">
      <c r="A88" s="1" t="s">
        <v>17</v>
      </c>
      <c r="B88" s="2">
        <f t="shared" si="2"/>
        <v>6</v>
      </c>
      <c r="C88" s="2" t="s">
        <v>48</v>
      </c>
      <c r="D88" s="2" t="s">
        <v>19</v>
      </c>
      <c r="E88" s="2" t="s">
        <v>32</v>
      </c>
      <c r="F88" s="2" t="s">
        <v>16</v>
      </c>
      <c r="G88" s="5">
        <v>580.63</v>
      </c>
      <c r="H88" s="7">
        <v>126.29</v>
      </c>
      <c r="I88" s="9">
        <f>(salesdata[[#This Row],[Profit]]/salesdata[[#This Row],[Sales]])*100</f>
        <v>21.75051237448978</v>
      </c>
    </row>
    <row r="89" spans="1:9" ht="14.25">
      <c r="A89" s="1" t="s">
        <v>37</v>
      </c>
      <c r="B89" s="2">
        <f t="shared" si="2"/>
        <v>7</v>
      </c>
      <c r="C89" s="2" t="s">
        <v>29</v>
      </c>
      <c r="D89" s="2" t="s">
        <v>14</v>
      </c>
      <c r="E89" s="2" t="s">
        <v>42</v>
      </c>
      <c r="F89" s="2" t="s">
        <v>16</v>
      </c>
      <c r="G89" s="5">
        <v>4376.82</v>
      </c>
      <c r="H89" s="7">
        <v>2440.69</v>
      </c>
      <c r="I89" s="9">
        <f>(salesdata[[#This Row],[Profit]]/salesdata[[#This Row],[Sales]])*100</f>
        <v>55.764002175095165</v>
      </c>
    </row>
    <row r="90" spans="1:9" ht="14.25">
      <c r="A90" s="1" t="s">
        <v>22</v>
      </c>
      <c r="B90" s="2">
        <f t="shared" si="2"/>
        <v>12</v>
      </c>
      <c r="C90" s="2" t="s">
        <v>48</v>
      </c>
      <c r="D90" s="2" t="s">
        <v>23</v>
      </c>
      <c r="E90" s="2" t="s">
        <v>30</v>
      </c>
      <c r="F90" s="2" t="s">
        <v>16</v>
      </c>
      <c r="G90" s="5">
        <v>5329.19</v>
      </c>
      <c r="H90" s="7">
        <v>709.28</v>
      </c>
      <c r="I90" s="9">
        <f>(salesdata[[#This Row],[Profit]]/salesdata[[#This Row],[Sales]])*100</f>
        <v>13.309339693274215</v>
      </c>
    </row>
    <row r="91" spans="1:9" ht="14.25">
      <c r="A91" s="1" t="s">
        <v>12</v>
      </c>
      <c r="B91" s="2">
        <f t="shared" si="2"/>
        <v>11</v>
      </c>
      <c r="C91" s="2" t="s">
        <v>48</v>
      </c>
      <c r="D91" s="2" t="s">
        <v>9</v>
      </c>
      <c r="E91" s="2" t="s">
        <v>46</v>
      </c>
      <c r="F91" s="2" t="s">
        <v>21</v>
      </c>
      <c r="G91" s="5">
        <v>4789.41</v>
      </c>
      <c r="H91" s="7">
        <v>2629.17</v>
      </c>
      <c r="I91" s="9">
        <f>(salesdata[[#This Row],[Profit]]/salesdata[[#This Row],[Sales]])*100</f>
        <v>54.895488170776787</v>
      </c>
    </row>
    <row r="92" spans="1:9" ht="14.25">
      <c r="A92" s="1" t="s">
        <v>28</v>
      </c>
      <c r="B92" s="2">
        <f t="shared" si="2"/>
        <v>3</v>
      </c>
      <c r="C92" s="2" t="s">
        <v>31</v>
      </c>
      <c r="D92" s="2" t="s">
        <v>34</v>
      </c>
      <c r="E92" s="2" t="s">
        <v>56</v>
      </c>
      <c r="F92" s="2" t="s">
        <v>47</v>
      </c>
      <c r="G92" s="5">
        <v>2299.36</v>
      </c>
      <c r="H92" s="7">
        <v>1915.5</v>
      </c>
      <c r="I92" s="9">
        <f>(salesdata[[#This Row],[Profit]]/salesdata[[#This Row],[Sales]])*100</f>
        <v>83.305789437060739</v>
      </c>
    </row>
    <row r="93" spans="1:9" ht="14.25">
      <c r="A93" s="1" t="s">
        <v>25</v>
      </c>
      <c r="B93" s="2">
        <f t="shared" si="2"/>
        <v>2</v>
      </c>
      <c r="C93" s="2" t="s">
        <v>29</v>
      </c>
      <c r="D93" s="2" t="s">
        <v>14</v>
      </c>
      <c r="E93" s="2" t="s">
        <v>42</v>
      </c>
      <c r="F93" s="2" t="s">
        <v>21</v>
      </c>
      <c r="G93" s="5">
        <v>745.98</v>
      </c>
      <c r="H93" s="7">
        <v>277.54000000000002</v>
      </c>
      <c r="I93" s="9">
        <f>(salesdata[[#This Row],[Profit]]/salesdata[[#This Row],[Sales]])*100</f>
        <v>37.204750797608519</v>
      </c>
    </row>
    <row r="94" spans="1:9" ht="14.25">
      <c r="A94" s="1" t="s">
        <v>12</v>
      </c>
      <c r="B94" s="2">
        <f t="shared" si="2"/>
        <v>11</v>
      </c>
      <c r="C94" s="2" t="s">
        <v>31</v>
      </c>
      <c r="D94" s="2" t="s">
        <v>19</v>
      </c>
      <c r="E94" s="2" t="s">
        <v>41</v>
      </c>
      <c r="F94" s="2" t="s">
        <v>21</v>
      </c>
      <c r="G94" s="5">
        <v>8558.85</v>
      </c>
      <c r="H94" s="7">
        <v>4423.1000000000004</v>
      </c>
      <c r="I94" s="9">
        <f>(salesdata[[#This Row],[Profit]]/salesdata[[#This Row],[Sales]])*100</f>
        <v>51.678671784176608</v>
      </c>
    </row>
    <row r="95" spans="1:9" ht="14.25">
      <c r="A95" s="1" t="s">
        <v>37</v>
      </c>
      <c r="B95" s="2">
        <f t="shared" si="2"/>
        <v>7</v>
      </c>
      <c r="C95" s="2" t="s">
        <v>13</v>
      </c>
      <c r="D95" s="2" t="s">
        <v>19</v>
      </c>
      <c r="E95" s="2" t="s">
        <v>20</v>
      </c>
      <c r="F95" s="2" t="s">
        <v>11</v>
      </c>
      <c r="G95" s="5">
        <v>1630.03</v>
      </c>
      <c r="H95" s="7">
        <v>948.42</v>
      </c>
      <c r="I95" s="9">
        <f>(salesdata[[#This Row],[Profit]]/salesdata[[#This Row],[Sales]])*100</f>
        <v>58.184205198677319</v>
      </c>
    </row>
    <row r="96" spans="1:9" ht="14.25">
      <c r="A96" s="1" t="s">
        <v>12</v>
      </c>
      <c r="B96" s="2">
        <f t="shared" si="2"/>
        <v>11</v>
      </c>
      <c r="C96" s="2" t="s">
        <v>29</v>
      </c>
      <c r="D96" s="2" t="s">
        <v>34</v>
      </c>
      <c r="E96" s="2" t="s">
        <v>43</v>
      </c>
      <c r="F96" s="2" t="s">
        <v>11</v>
      </c>
      <c r="G96" s="5">
        <v>3582.45</v>
      </c>
      <c r="H96" s="7">
        <v>944.91</v>
      </c>
      <c r="I96" s="9">
        <f>(salesdata[[#This Row],[Profit]]/salesdata[[#This Row],[Sales]])*100</f>
        <v>26.376083406607208</v>
      </c>
    </row>
    <row r="97" spans="1:9" ht="14.25">
      <c r="A97" s="1" t="s">
        <v>12</v>
      </c>
      <c r="B97" s="2">
        <f t="shared" si="2"/>
        <v>11</v>
      </c>
      <c r="C97" s="2" t="s">
        <v>29</v>
      </c>
      <c r="D97" s="2" t="s">
        <v>34</v>
      </c>
      <c r="E97" s="2" t="s">
        <v>43</v>
      </c>
      <c r="F97" s="2" t="s">
        <v>16</v>
      </c>
      <c r="G97" s="5">
        <v>4806.49</v>
      </c>
      <c r="H97" s="7">
        <v>842.36</v>
      </c>
      <c r="I97" s="9">
        <f>(salesdata[[#This Row],[Profit]]/salesdata[[#This Row],[Sales]])*100</f>
        <v>17.525470769730095</v>
      </c>
    </row>
    <row r="98" spans="1:9" ht="14.25">
      <c r="A98" s="1" t="s">
        <v>37</v>
      </c>
      <c r="B98" s="2">
        <f t="shared" ref="B98:B129" si="3">MONTH(DATEVALUE(A98 &amp; " 1"))</f>
        <v>7</v>
      </c>
      <c r="C98" s="2" t="s">
        <v>31</v>
      </c>
      <c r="D98" s="2" t="s">
        <v>34</v>
      </c>
      <c r="E98" s="2" t="s">
        <v>35</v>
      </c>
      <c r="F98" s="2" t="s">
        <v>11</v>
      </c>
      <c r="G98" s="5">
        <v>8035.93</v>
      </c>
      <c r="H98" s="7">
        <v>2917.09</v>
      </c>
      <c r="I98" s="9">
        <f>(salesdata[[#This Row],[Profit]]/salesdata[[#This Row],[Sales]])*100</f>
        <v>36.300589975273553</v>
      </c>
    </row>
    <row r="99" spans="1:9" ht="14.25">
      <c r="A99" s="1" t="s">
        <v>17</v>
      </c>
      <c r="B99" s="2">
        <f t="shared" si="3"/>
        <v>6</v>
      </c>
      <c r="C99" s="2" t="s">
        <v>8</v>
      </c>
      <c r="D99" s="2" t="s">
        <v>23</v>
      </c>
      <c r="E99" s="2" t="s">
        <v>30</v>
      </c>
      <c r="F99" s="2" t="s">
        <v>11</v>
      </c>
      <c r="G99" s="5">
        <v>1021.24</v>
      </c>
      <c r="H99" s="7">
        <v>407.07</v>
      </c>
      <c r="I99" s="9">
        <f>(salesdata[[#This Row],[Profit]]/salesdata[[#This Row],[Sales]])*100</f>
        <v>39.860365829775567</v>
      </c>
    </row>
    <row r="100" spans="1:9" ht="14.25">
      <c r="A100" s="1" t="s">
        <v>25</v>
      </c>
      <c r="B100" s="2">
        <f t="shared" si="3"/>
        <v>2</v>
      </c>
      <c r="C100" s="2" t="s">
        <v>29</v>
      </c>
      <c r="D100" s="2" t="s">
        <v>9</v>
      </c>
      <c r="E100" s="2" t="s">
        <v>46</v>
      </c>
      <c r="F100" s="2" t="s">
        <v>33</v>
      </c>
      <c r="G100" s="5">
        <v>3527.69</v>
      </c>
      <c r="H100" s="7">
        <v>1180.96</v>
      </c>
      <c r="I100" s="9">
        <f>(salesdata[[#This Row],[Profit]]/salesdata[[#This Row],[Sales]])*100</f>
        <v>33.476864463714215</v>
      </c>
    </row>
    <row r="101" spans="1:9" ht="14.25">
      <c r="A101" s="1" t="s">
        <v>40</v>
      </c>
      <c r="B101" s="2">
        <f t="shared" si="3"/>
        <v>8</v>
      </c>
      <c r="C101" s="2" t="s">
        <v>38</v>
      </c>
      <c r="D101" s="2" t="s">
        <v>23</v>
      </c>
      <c r="E101" s="2" t="s">
        <v>24</v>
      </c>
      <c r="F101" s="2" t="s">
        <v>47</v>
      </c>
      <c r="G101" s="5">
        <v>5826.46</v>
      </c>
      <c r="H101" s="7">
        <v>4300.93</v>
      </c>
      <c r="I101" s="9">
        <f>(salesdata[[#This Row],[Profit]]/salesdata[[#This Row],[Sales]])*100</f>
        <v>73.817206331117006</v>
      </c>
    </row>
    <row r="102" spans="1:9" ht="14.25">
      <c r="A102" s="1" t="s">
        <v>51</v>
      </c>
      <c r="B102" s="2">
        <f t="shared" si="3"/>
        <v>10</v>
      </c>
      <c r="C102" s="2" t="s">
        <v>13</v>
      </c>
      <c r="D102" s="2" t="s">
        <v>14</v>
      </c>
      <c r="E102" s="2" t="s">
        <v>15</v>
      </c>
      <c r="F102" s="2" t="s">
        <v>11</v>
      </c>
      <c r="G102" s="5">
        <v>9376.5</v>
      </c>
      <c r="H102" s="7">
        <v>917.14</v>
      </c>
      <c r="I102" s="9">
        <f>(salesdata[[#This Row],[Profit]]/salesdata[[#This Row],[Sales]])*100</f>
        <v>9.781261664800299</v>
      </c>
    </row>
    <row r="103" spans="1:9" ht="14.25">
      <c r="A103" s="1" t="s">
        <v>17</v>
      </c>
      <c r="B103" s="2">
        <f t="shared" si="3"/>
        <v>6</v>
      </c>
      <c r="C103" s="2" t="s">
        <v>8</v>
      </c>
      <c r="D103" s="2" t="s">
        <v>23</v>
      </c>
      <c r="E103" s="2" t="s">
        <v>44</v>
      </c>
      <c r="F103" s="2" t="s">
        <v>27</v>
      </c>
      <c r="G103" s="5">
        <v>3645.5</v>
      </c>
      <c r="H103" s="7">
        <v>687.2</v>
      </c>
      <c r="I103" s="9">
        <f>(salesdata[[#This Row],[Profit]]/salesdata[[#This Row],[Sales]])*100</f>
        <v>18.850637772596354</v>
      </c>
    </row>
    <row r="104" spans="1:9" ht="14.25">
      <c r="A104" s="1" t="s">
        <v>37</v>
      </c>
      <c r="B104" s="2">
        <f t="shared" si="3"/>
        <v>7</v>
      </c>
      <c r="C104" s="2" t="s">
        <v>31</v>
      </c>
      <c r="D104" s="2" t="s">
        <v>19</v>
      </c>
      <c r="E104" s="2" t="s">
        <v>41</v>
      </c>
      <c r="F104" s="2" t="s">
        <v>11</v>
      </c>
      <c r="G104" s="5">
        <v>666.75</v>
      </c>
      <c r="H104" s="7">
        <v>412.78</v>
      </c>
      <c r="I104" s="9">
        <f>(salesdata[[#This Row],[Profit]]/salesdata[[#This Row],[Sales]])*100</f>
        <v>61.909261342332201</v>
      </c>
    </row>
    <row r="105" spans="1:9" ht="14.25">
      <c r="A105" s="1" t="s">
        <v>28</v>
      </c>
      <c r="B105" s="2">
        <f t="shared" si="3"/>
        <v>3</v>
      </c>
      <c r="C105" s="2" t="s">
        <v>18</v>
      </c>
      <c r="D105" s="2" t="s">
        <v>19</v>
      </c>
      <c r="E105" s="2" t="s">
        <v>41</v>
      </c>
      <c r="F105" s="2" t="s">
        <v>21</v>
      </c>
      <c r="G105" s="5">
        <v>5020.32</v>
      </c>
      <c r="H105" s="7">
        <v>1839.86</v>
      </c>
      <c r="I105" s="9">
        <f>(salesdata[[#This Row],[Profit]]/salesdata[[#This Row],[Sales]])*100</f>
        <v>36.648261465404595</v>
      </c>
    </row>
    <row r="106" spans="1:9" ht="14.25">
      <c r="A106" s="1" t="s">
        <v>7</v>
      </c>
      <c r="B106" s="2">
        <f t="shared" si="3"/>
        <v>5</v>
      </c>
      <c r="C106" s="2" t="s">
        <v>13</v>
      </c>
      <c r="D106" s="2" t="s">
        <v>23</v>
      </c>
      <c r="E106" s="2" t="s">
        <v>30</v>
      </c>
      <c r="F106" s="2" t="s">
        <v>11</v>
      </c>
      <c r="G106" s="5">
        <v>2664</v>
      </c>
      <c r="H106" s="7">
        <v>1103.1400000000001</v>
      </c>
      <c r="I106" s="9">
        <f>(salesdata[[#This Row],[Profit]]/salesdata[[#This Row],[Sales]])*100</f>
        <v>41.409159159159167</v>
      </c>
    </row>
    <row r="107" spans="1:9" ht="14.25">
      <c r="A107" s="1" t="s">
        <v>39</v>
      </c>
      <c r="B107" s="2">
        <f t="shared" si="3"/>
        <v>4</v>
      </c>
      <c r="C107" s="2" t="s">
        <v>13</v>
      </c>
      <c r="D107" s="2" t="s">
        <v>23</v>
      </c>
      <c r="E107" s="2" t="s">
        <v>55</v>
      </c>
      <c r="F107" s="2" t="s">
        <v>16</v>
      </c>
      <c r="G107" s="5">
        <v>6252.79</v>
      </c>
      <c r="H107" s="7">
        <v>4829.1099999999997</v>
      </c>
      <c r="I107" s="9">
        <f>(salesdata[[#This Row],[Profit]]/salesdata[[#This Row],[Sales]])*100</f>
        <v>77.231283954842553</v>
      </c>
    </row>
    <row r="108" spans="1:9" ht="14.25">
      <c r="A108" s="1" t="s">
        <v>39</v>
      </c>
      <c r="B108" s="2">
        <f t="shared" si="3"/>
        <v>4</v>
      </c>
      <c r="C108" s="2" t="s">
        <v>38</v>
      </c>
      <c r="D108" s="2" t="s">
        <v>14</v>
      </c>
      <c r="E108" s="2" t="s">
        <v>15</v>
      </c>
      <c r="F108" s="2" t="s">
        <v>47</v>
      </c>
      <c r="G108" s="5">
        <v>7547.82</v>
      </c>
      <c r="H108" s="7">
        <v>3850.16</v>
      </c>
      <c r="I108" s="9">
        <f>(salesdata[[#This Row],[Profit]]/salesdata[[#This Row],[Sales]])*100</f>
        <v>51.010225469075841</v>
      </c>
    </row>
    <row r="109" spans="1:9" ht="14.25">
      <c r="A109" s="1" t="s">
        <v>36</v>
      </c>
      <c r="B109" s="2">
        <f t="shared" si="3"/>
        <v>1</v>
      </c>
      <c r="C109" s="2" t="s">
        <v>48</v>
      </c>
      <c r="D109" s="2" t="s">
        <v>19</v>
      </c>
      <c r="E109" s="2" t="s">
        <v>32</v>
      </c>
      <c r="F109" s="2" t="s">
        <v>47</v>
      </c>
      <c r="G109" s="5">
        <v>9636.9500000000007</v>
      </c>
      <c r="H109" s="7">
        <v>845.42</v>
      </c>
      <c r="I109" s="9">
        <f>(salesdata[[#This Row],[Profit]]/salesdata[[#This Row],[Sales]])*100</f>
        <v>8.7726926050254477</v>
      </c>
    </row>
    <row r="110" spans="1:9" ht="14.25">
      <c r="A110" s="1" t="s">
        <v>36</v>
      </c>
      <c r="B110" s="2">
        <f t="shared" si="3"/>
        <v>1</v>
      </c>
      <c r="C110" s="2" t="s">
        <v>29</v>
      </c>
      <c r="D110" s="2" t="s">
        <v>14</v>
      </c>
      <c r="E110" s="2" t="s">
        <v>15</v>
      </c>
      <c r="F110" s="2" t="s">
        <v>21</v>
      </c>
      <c r="G110" s="5">
        <v>352.89</v>
      </c>
      <c r="H110" s="7">
        <v>101.3</v>
      </c>
      <c r="I110" s="9">
        <f>(salesdata[[#This Row],[Profit]]/salesdata[[#This Row],[Sales]])*100</f>
        <v>28.705829011873391</v>
      </c>
    </row>
    <row r="111" spans="1:9" ht="14.25">
      <c r="A111" s="1" t="s">
        <v>7</v>
      </c>
      <c r="B111" s="2">
        <f t="shared" si="3"/>
        <v>5</v>
      </c>
      <c r="C111" s="2" t="s">
        <v>13</v>
      </c>
      <c r="D111" s="2" t="s">
        <v>34</v>
      </c>
      <c r="E111" s="2" t="s">
        <v>35</v>
      </c>
      <c r="F111" s="2" t="s">
        <v>47</v>
      </c>
      <c r="G111" s="5">
        <v>5059.7</v>
      </c>
      <c r="H111" s="7">
        <v>919.79</v>
      </c>
      <c r="I111" s="9">
        <f>(salesdata[[#This Row],[Profit]]/salesdata[[#This Row],[Sales]])*100</f>
        <v>18.178745775441232</v>
      </c>
    </row>
    <row r="112" spans="1:9" ht="14.25">
      <c r="A112" s="1" t="s">
        <v>39</v>
      </c>
      <c r="B112" s="2">
        <f t="shared" si="3"/>
        <v>4</v>
      </c>
      <c r="C112" s="2" t="s">
        <v>18</v>
      </c>
      <c r="D112" s="2" t="s">
        <v>19</v>
      </c>
      <c r="E112" s="2" t="s">
        <v>20</v>
      </c>
      <c r="F112" s="2" t="s">
        <v>16</v>
      </c>
      <c r="G112" s="5">
        <v>7407.02</v>
      </c>
      <c r="H112" s="7">
        <v>90.8</v>
      </c>
      <c r="I112" s="9">
        <f>(salesdata[[#This Row],[Profit]]/salesdata[[#This Row],[Sales]])*100</f>
        <v>1.2258641126930936</v>
      </c>
    </row>
    <row r="113" spans="1:9" ht="14.25">
      <c r="A113" s="1" t="s">
        <v>37</v>
      </c>
      <c r="B113" s="2">
        <f t="shared" si="3"/>
        <v>7</v>
      </c>
      <c r="C113" s="2" t="s">
        <v>29</v>
      </c>
      <c r="D113" s="2" t="s">
        <v>9</v>
      </c>
      <c r="E113" s="2" t="s">
        <v>46</v>
      </c>
      <c r="F113" s="2" t="s">
        <v>27</v>
      </c>
      <c r="G113" s="5">
        <v>6667.62</v>
      </c>
      <c r="H113" s="7">
        <v>1713.38</v>
      </c>
      <c r="I113" s="9">
        <f>(salesdata[[#This Row],[Profit]]/salesdata[[#This Row],[Sales]])*100</f>
        <v>25.697025325378476</v>
      </c>
    </row>
    <row r="114" spans="1:9" ht="14.25">
      <c r="A114" s="1" t="s">
        <v>51</v>
      </c>
      <c r="B114" s="2">
        <f t="shared" si="3"/>
        <v>10</v>
      </c>
      <c r="C114" s="2" t="s">
        <v>8</v>
      </c>
      <c r="D114" s="2" t="s">
        <v>9</v>
      </c>
      <c r="E114" s="2" t="s">
        <v>46</v>
      </c>
      <c r="F114" s="2" t="s">
        <v>11</v>
      </c>
      <c r="G114" s="5">
        <v>3322.06</v>
      </c>
      <c r="H114" s="7">
        <v>2562.04</v>
      </c>
      <c r="I114" s="9">
        <f>(salesdata[[#This Row],[Profit]]/salesdata[[#This Row],[Sales]])*100</f>
        <v>77.122026694280052</v>
      </c>
    </row>
    <row r="115" spans="1:9" ht="14.25">
      <c r="A115" s="1" t="s">
        <v>51</v>
      </c>
      <c r="B115" s="2">
        <f t="shared" si="3"/>
        <v>10</v>
      </c>
      <c r="C115" s="2" t="s">
        <v>29</v>
      </c>
      <c r="D115" s="2" t="s">
        <v>34</v>
      </c>
      <c r="E115" s="2" t="s">
        <v>49</v>
      </c>
      <c r="F115" s="2" t="s">
        <v>21</v>
      </c>
      <c r="G115" s="5">
        <v>6843.25</v>
      </c>
      <c r="H115" s="7">
        <v>2110.91</v>
      </c>
      <c r="I115" s="9">
        <f>(salesdata[[#This Row],[Profit]]/salesdata[[#This Row],[Sales]])*100</f>
        <v>30.846600664888758</v>
      </c>
    </row>
    <row r="116" spans="1:9" ht="14.25">
      <c r="A116" s="1" t="s">
        <v>36</v>
      </c>
      <c r="B116" s="2">
        <f t="shared" si="3"/>
        <v>1</v>
      </c>
      <c r="C116" s="2" t="s">
        <v>31</v>
      </c>
      <c r="D116" s="2" t="s">
        <v>14</v>
      </c>
      <c r="E116" s="2" t="s">
        <v>45</v>
      </c>
      <c r="F116" s="2" t="s">
        <v>21</v>
      </c>
      <c r="G116" s="5">
        <v>2571.37</v>
      </c>
      <c r="H116" s="7">
        <v>1336.75</v>
      </c>
      <c r="I116" s="9">
        <f>(salesdata[[#This Row],[Profit]]/salesdata[[#This Row],[Sales]])*100</f>
        <v>51.985906345644537</v>
      </c>
    </row>
    <row r="117" spans="1:9" ht="14.25">
      <c r="A117" s="1" t="s">
        <v>40</v>
      </c>
      <c r="B117" s="2">
        <f t="shared" si="3"/>
        <v>8</v>
      </c>
      <c r="C117" s="2" t="s">
        <v>31</v>
      </c>
      <c r="D117" s="2" t="s">
        <v>23</v>
      </c>
      <c r="E117" s="2" t="s">
        <v>24</v>
      </c>
      <c r="F117" s="2" t="s">
        <v>16</v>
      </c>
      <c r="G117" s="5">
        <v>7479.72</v>
      </c>
      <c r="H117" s="7">
        <v>3389.93</v>
      </c>
      <c r="I117" s="9">
        <f>(salesdata[[#This Row],[Profit]]/salesdata[[#This Row],[Sales]])*100</f>
        <v>45.321616317188344</v>
      </c>
    </row>
    <row r="118" spans="1:9" ht="14.25">
      <c r="A118" s="1" t="s">
        <v>39</v>
      </c>
      <c r="B118" s="2">
        <f t="shared" si="3"/>
        <v>4</v>
      </c>
      <c r="C118" s="2" t="s">
        <v>13</v>
      </c>
      <c r="D118" s="2" t="s">
        <v>34</v>
      </c>
      <c r="E118" s="2" t="s">
        <v>43</v>
      </c>
      <c r="F118" s="2" t="s">
        <v>11</v>
      </c>
      <c r="G118" s="5">
        <v>7591.39</v>
      </c>
      <c r="H118" s="7">
        <v>3261.65</v>
      </c>
      <c r="I118" s="9">
        <f>(salesdata[[#This Row],[Profit]]/salesdata[[#This Row],[Sales]])*100</f>
        <v>42.965122329375774</v>
      </c>
    </row>
    <row r="119" spans="1:9" ht="14.25">
      <c r="A119" s="1" t="s">
        <v>54</v>
      </c>
      <c r="B119" s="2">
        <f t="shared" si="3"/>
        <v>9</v>
      </c>
      <c r="C119" s="2" t="s">
        <v>48</v>
      </c>
      <c r="D119" s="2" t="s">
        <v>19</v>
      </c>
      <c r="E119" s="2" t="s">
        <v>52</v>
      </c>
      <c r="F119" s="2" t="s">
        <v>27</v>
      </c>
      <c r="G119" s="5">
        <v>8744.75</v>
      </c>
      <c r="H119" s="7">
        <v>4083.16</v>
      </c>
      <c r="I119" s="9">
        <f>(salesdata[[#This Row],[Profit]]/salesdata[[#This Row],[Sales]])*100</f>
        <v>46.692701335086767</v>
      </c>
    </row>
    <row r="120" spans="1:9" ht="14.25">
      <c r="A120" s="1" t="s">
        <v>25</v>
      </c>
      <c r="B120" s="2">
        <f t="shared" si="3"/>
        <v>2</v>
      </c>
      <c r="C120" s="2" t="s">
        <v>48</v>
      </c>
      <c r="D120" s="2" t="s">
        <v>19</v>
      </c>
      <c r="E120" s="2" t="s">
        <v>20</v>
      </c>
      <c r="F120" s="2" t="s">
        <v>11</v>
      </c>
      <c r="G120" s="5">
        <v>6543.09</v>
      </c>
      <c r="H120" s="7">
        <v>4343.0200000000004</v>
      </c>
      <c r="I120" s="9">
        <f>(salesdata[[#This Row],[Profit]]/salesdata[[#This Row],[Sales]])*100</f>
        <v>66.375672656191497</v>
      </c>
    </row>
    <row r="121" spans="1:9" ht="14.25">
      <c r="A121" s="1" t="s">
        <v>37</v>
      </c>
      <c r="B121" s="2">
        <f t="shared" si="3"/>
        <v>7</v>
      </c>
      <c r="C121" s="2" t="s">
        <v>29</v>
      </c>
      <c r="D121" s="2" t="s">
        <v>23</v>
      </c>
      <c r="E121" s="2" t="s">
        <v>44</v>
      </c>
      <c r="F121" s="2" t="s">
        <v>11</v>
      </c>
      <c r="G121" s="5">
        <v>9451.36</v>
      </c>
      <c r="H121" s="7">
        <v>3445.57</v>
      </c>
      <c r="I121" s="9">
        <f>(salesdata[[#This Row],[Profit]]/salesdata[[#This Row],[Sales]])*100</f>
        <v>36.455811650386821</v>
      </c>
    </row>
    <row r="122" spans="1:9" ht="14.25">
      <c r="A122" s="1" t="s">
        <v>37</v>
      </c>
      <c r="B122" s="2">
        <f t="shared" si="3"/>
        <v>7</v>
      </c>
      <c r="C122" s="2" t="s">
        <v>38</v>
      </c>
      <c r="D122" s="2" t="s">
        <v>9</v>
      </c>
      <c r="E122" s="2" t="s">
        <v>50</v>
      </c>
      <c r="F122" s="2" t="s">
        <v>33</v>
      </c>
      <c r="G122" s="5">
        <v>1622.03</v>
      </c>
      <c r="H122" s="7">
        <v>164.11</v>
      </c>
      <c r="I122" s="9">
        <f>(salesdata[[#This Row],[Profit]]/salesdata[[#This Row],[Sales]])*100</f>
        <v>10.117568725609269</v>
      </c>
    </row>
    <row r="123" spans="1:9" ht="14.25">
      <c r="A123" s="1" t="s">
        <v>40</v>
      </c>
      <c r="B123" s="2">
        <f t="shared" si="3"/>
        <v>8</v>
      </c>
      <c r="C123" s="2" t="s">
        <v>38</v>
      </c>
      <c r="D123" s="2" t="s">
        <v>23</v>
      </c>
      <c r="E123" s="2" t="s">
        <v>30</v>
      </c>
      <c r="F123" s="2" t="s">
        <v>11</v>
      </c>
      <c r="G123" s="5">
        <v>5157.5600000000004</v>
      </c>
      <c r="H123" s="7">
        <v>3843.67</v>
      </c>
      <c r="I123" s="9">
        <f>(salesdata[[#This Row],[Profit]]/salesdata[[#This Row],[Sales]])*100</f>
        <v>74.524969171468683</v>
      </c>
    </row>
    <row r="124" spans="1:9" ht="14.25">
      <c r="A124" s="1" t="s">
        <v>39</v>
      </c>
      <c r="B124" s="2">
        <f t="shared" si="3"/>
        <v>4</v>
      </c>
      <c r="C124" s="2" t="s">
        <v>48</v>
      </c>
      <c r="D124" s="2" t="s">
        <v>34</v>
      </c>
      <c r="E124" s="2" t="s">
        <v>43</v>
      </c>
      <c r="F124" s="2" t="s">
        <v>11</v>
      </c>
      <c r="G124" s="5">
        <v>7831.92</v>
      </c>
      <c r="H124" s="7">
        <v>6310.48</v>
      </c>
      <c r="I124" s="9">
        <f>(salesdata[[#This Row],[Profit]]/salesdata[[#This Row],[Sales]])*100</f>
        <v>80.573856729895084</v>
      </c>
    </row>
    <row r="125" spans="1:9" ht="14.25">
      <c r="A125" s="1" t="s">
        <v>51</v>
      </c>
      <c r="B125" s="2">
        <f t="shared" si="3"/>
        <v>10</v>
      </c>
      <c r="C125" s="2" t="s">
        <v>38</v>
      </c>
      <c r="D125" s="2" t="s">
        <v>9</v>
      </c>
      <c r="E125" s="2" t="s">
        <v>10</v>
      </c>
      <c r="F125" s="2" t="s">
        <v>21</v>
      </c>
      <c r="G125" s="5">
        <v>4722.2299999999996</v>
      </c>
      <c r="H125" s="7">
        <v>2653.62</v>
      </c>
      <c r="I125" s="9">
        <f>(salesdata[[#This Row],[Profit]]/salesdata[[#This Row],[Sales]])*100</f>
        <v>56.194213327178055</v>
      </c>
    </row>
    <row r="126" spans="1:9" ht="14.25">
      <c r="A126" s="1" t="s">
        <v>40</v>
      </c>
      <c r="B126" s="2">
        <f t="shared" si="3"/>
        <v>8</v>
      </c>
      <c r="C126" s="2" t="s">
        <v>8</v>
      </c>
      <c r="D126" s="2" t="s">
        <v>9</v>
      </c>
      <c r="E126" s="2" t="s">
        <v>50</v>
      </c>
      <c r="F126" s="2" t="s">
        <v>27</v>
      </c>
      <c r="G126" s="5">
        <v>2235.4</v>
      </c>
      <c r="H126" s="7">
        <v>976.75</v>
      </c>
      <c r="I126" s="9">
        <f>(salesdata[[#This Row],[Profit]]/salesdata[[#This Row],[Sales]])*100</f>
        <v>43.694640780173572</v>
      </c>
    </row>
    <row r="127" spans="1:9" ht="14.25">
      <c r="A127" s="1" t="s">
        <v>17</v>
      </c>
      <c r="B127" s="2">
        <f t="shared" si="3"/>
        <v>6</v>
      </c>
      <c r="C127" s="2" t="s">
        <v>29</v>
      </c>
      <c r="D127" s="2" t="s">
        <v>19</v>
      </c>
      <c r="E127" s="2" t="s">
        <v>41</v>
      </c>
      <c r="F127" s="2" t="s">
        <v>11</v>
      </c>
      <c r="G127" s="5">
        <v>8559.49</v>
      </c>
      <c r="H127" s="7">
        <v>4310.71</v>
      </c>
      <c r="I127" s="9">
        <f>(salesdata[[#This Row],[Profit]]/salesdata[[#This Row],[Sales]])*100</f>
        <v>50.361762207795088</v>
      </c>
    </row>
    <row r="128" spans="1:9" ht="14.25">
      <c r="A128" s="1" t="s">
        <v>12</v>
      </c>
      <c r="B128" s="2">
        <f t="shared" si="3"/>
        <v>11</v>
      </c>
      <c r="C128" s="2" t="s">
        <v>31</v>
      </c>
      <c r="D128" s="2" t="s">
        <v>9</v>
      </c>
      <c r="E128" s="2" t="s">
        <v>53</v>
      </c>
      <c r="F128" s="2" t="s">
        <v>27</v>
      </c>
      <c r="G128" s="5">
        <v>960.08</v>
      </c>
      <c r="H128" s="7">
        <v>117.05</v>
      </c>
      <c r="I128" s="9">
        <f>(salesdata[[#This Row],[Profit]]/salesdata[[#This Row],[Sales]])*100</f>
        <v>12.191692358970085</v>
      </c>
    </row>
    <row r="129" spans="1:9" ht="14.25">
      <c r="A129" s="1" t="s">
        <v>37</v>
      </c>
      <c r="B129" s="2">
        <f t="shared" si="3"/>
        <v>7</v>
      </c>
      <c r="C129" s="2" t="s">
        <v>38</v>
      </c>
      <c r="D129" s="2" t="s">
        <v>14</v>
      </c>
      <c r="E129" s="2" t="s">
        <v>45</v>
      </c>
      <c r="F129" s="2" t="s">
        <v>33</v>
      </c>
      <c r="G129" s="5">
        <v>7735.05</v>
      </c>
      <c r="H129" s="7">
        <v>908.26</v>
      </c>
      <c r="I129" s="9">
        <f>(salesdata[[#This Row],[Profit]]/salesdata[[#This Row],[Sales]])*100</f>
        <v>11.742134827829167</v>
      </c>
    </row>
    <row r="130" spans="1:9" ht="14.25">
      <c r="A130" s="1" t="s">
        <v>54</v>
      </c>
      <c r="B130" s="2">
        <f t="shared" ref="B130:B161" si="4">MONTH(DATEVALUE(A130 &amp; " 1"))</f>
        <v>9</v>
      </c>
      <c r="C130" s="2" t="s">
        <v>8</v>
      </c>
      <c r="D130" s="2" t="s">
        <v>19</v>
      </c>
      <c r="E130" s="2" t="s">
        <v>32</v>
      </c>
      <c r="F130" s="2" t="s">
        <v>21</v>
      </c>
      <c r="G130" s="5">
        <v>4084.07</v>
      </c>
      <c r="H130" s="7">
        <v>2888.94</v>
      </c>
      <c r="I130" s="9">
        <f>(salesdata[[#This Row],[Profit]]/salesdata[[#This Row],[Sales]])*100</f>
        <v>70.736789526134473</v>
      </c>
    </row>
    <row r="131" spans="1:9" ht="14.25">
      <c r="A131" s="1" t="s">
        <v>51</v>
      </c>
      <c r="B131" s="2">
        <f t="shared" si="4"/>
        <v>10</v>
      </c>
      <c r="C131" s="2" t="s">
        <v>38</v>
      </c>
      <c r="D131" s="2" t="s">
        <v>19</v>
      </c>
      <c r="E131" s="2" t="s">
        <v>41</v>
      </c>
      <c r="F131" s="2" t="s">
        <v>33</v>
      </c>
      <c r="G131" s="5">
        <v>933.26</v>
      </c>
      <c r="H131" s="7">
        <v>509.09</v>
      </c>
      <c r="I131" s="9">
        <f>(salesdata[[#This Row],[Profit]]/salesdata[[#This Row],[Sales]])*100</f>
        <v>54.549643186250343</v>
      </c>
    </row>
    <row r="132" spans="1:9" ht="14.25">
      <c r="A132" s="1" t="s">
        <v>51</v>
      </c>
      <c r="B132" s="2">
        <f t="shared" si="4"/>
        <v>10</v>
      </c>
      <c r="C132" s="2" t="s">
        <v>29</v>
      </c>
      <c r="D132" s="2" t="s">
        <v>14</v>
      </c>
      <c r="E132" s="2" t="s">
        <v>26</v>
      </c>
      <c r="F132" s="2" t="s">
        <v>21</v>
      </c>
      <c r="G132" s="5">
        <v>2900.45</v>
      </c>
      <c r="H132" s="7">
        <v>18.82</v>
      </c>
      <c r="I132" s="9">
        <f>(salesdata[[#This Row],[Profit]]/salesdata[[#This Row],[Sales]])*100</f>
        <v>0.64886483131927808</v>
      </c>
    </row>
    <row r="133" spans="1:9" ht="14.25">
      <c r="A133" s="1" t="s">
        <v>51</v>
      </c>
      <c r="B133" s="2">
        <f t="shared" si="4"/>
        <v>10</v>
      </c>
      <c r="C133" s="2" t="s">
        <v>8</v>
      </c>
      <c r="D133" s="2" t="s">
        <v>34</v>
      </c>
      <c r="E133" s="2" t="s">
        <v>49</v>
      </c>
      <c r="F133" s="2" t="s">
        <v>27</v>
      </c>
      <c r="G133" s="5">
        <v>5890.36</v>
      </c>
      <c r="H133" s="7">
        <v>371.14</v>
      </c>
      <c r="I133" s="9">
        <f>(salesdata[[#This Row],[Profit]]/salesdata[[#This Row],[Sales]])*100</f>
        <v>6.3008033464847655</v>
      </c>
    </row>
    <row r="134" spans="1:9" ht="14.25">
      <c r="A134" s="1" t="s">
        <v>17</v>
      </c>
      <c r="B134" s="2">
        <f t="shared" si="4"/>
        <v>6</v>
      </c>
      <c r="C134" s="2" t="s">
        <v>38</v>
      </c>
      <c r="D134" s="2" t="s">
        <v>9</v>
      </c>
      <c r="E134" s="2" t="s">
        <v>10</v>
      </c>
      <c r="F134" s="2" t="s">
        <v>11</v>
      </c>
      <c r="G134" s="5">
        <v>6569.98</v>
      </c>
      <c r="H134" s="7">
        <v>3789.26</v>
      </c>
      <c r="I134" s="9">
        <f>(salesdata[[#This Row],[Profit]]/salesdata[[#This Row],[Sales]])*100</f>
        <v>57.675365830641802</v>
      </c>
    </row>
    <row r="135" spans="1:9" ht="14.25">
      <c r="A135" s="1" t="s">
        <v>25</v>
      </c>
      <c r="B135" s="2">
        <f t="shared" si="4"/>
        <v>2</v>
      </c>
      <c r="C135" s="2" t="s">
        <v>18</v>
      </c>
      <c r="D135" s="2" t="s">
        <v>9</v>
      </c>
      <c r="E135" s="2" t="s">
        <v>53</v>
      </c>
      <c r="F135" s="2" t="s">
        <v>11</v>
      </c>
      <c r="G135" s="5">
        <v>8306.7000000000007</v>
      </c>
      <c r="H135" s="7">
        <v>2662.93</v>
      </c>
      <c r="I135" s="9">
        <f>(salesdata[[#This Row],[Profit]]/salesdata[[#This Row],[Sales]])*100</f>
        <v>32.057616141187225</v>
      </c>
    </row>
    <row r="136" spans="1:9" ht="14.25">
      <c r="A136" s="1" t="s">
        <v>36</v>
      </c>
      <c r="B136" s="2">
        <f t="shared" si="4"/>
        <v>1</v>
      </c>
      <c r="C136" s="2" t="s">
        <v>8</v>
      </c>
      <c r="D136" s="2" t="s">
        <v>23</v>
      </c>
      <c r="E136" s="2" t="s">
        <v>44</v>
      </c>
      <c r="F136" s="2" t="s">
        <v>47</v>
      </c>
      <c r="G136" s="5">
        <v>3571.72</v>
      </c>
      <c r="H136" s="7">
        <v>152.5</v>
      </c>
      <c r="I136" s="9">
        <f>(salesdata[[#This Row],[Profit]]/salesdata[[#This Row],[Sales]])*100</f>
        <v>4.269651596429731</v>
      </c>
    </row>
    <row r="137" spans="1:9" ht="14.25">
      <c r="A137" s="1" t="s">
        <v>54</v>
      </c>
      <c r="B137" s="2">
        <f t="shared" si="4"/>
        <v>9</v>
      </c>
      <c r="C137" s="2" t="s">
        <v>29</v>
      </c>
      <c r="D137" s="2" t="s">
        <v>9</v>
      </c>
      <c r="E137" s="2" t="s">
        <v>50</v>
      </c>
      <c r="F137" s="2" t="s">
        <v>11</v>
      </c>
      <c r="G137" s="5">
        <v>5441.76</v>
      </c>
      <c r="H137" s="7">
        <v>531.24</v>
      </c>
      <c r="I137" s="9">
        <f>(salesdata[[#This Row],[Profit]]/salesdata[[#This Row],[Sales]])*100</f>
        <v>9.7622827908617804</v>
      </c>
    </row>
    <row r="138" spans="1:9" ht="14.25">
      <c r="A138" s="1" t="s">
        <v>7</v>
      </c>
      <c r="B138" s="2">
        <f t="shared" si="4"/>
        <v>5</v>
      </c>
      <c r="C138" s="2" t="s">
        <v>38</v>
      </c>
      <c r="D138" s="2" t="s">
        <v>23</v>
      </c>
      <c r="E138" s="2" t="s">
        <v>30</v>
      </c>
      <c r="F138" s="2" t="s">
        <v>33</v>
      </c>
      <c r="G138" s="5">
        <v>5487.68</v>
      </c>
      <c r="H138" s="7">
        <v>818.16</v>
      </c>
      <c r="I138" s="9">
        <f>(salesdata[[#This Row],[Profit]]/salesdata[[#This Row],[Sales]])*100</f>
        <v>14.909032596652866</v>
      </c>
    </row>
    <row r="139" spans="1:9" ht="14.25">
      <c r="A139" s="1" t="s">
        <v>54</v>
      </c>
      <c r="B139" s="2">
        <f t="shared" si="4"/>
        <v>9</v>
      </c>
      <c r="C139" s="2" t="s">
        <v>31</v>
      </c>
      <c r="D139" s="2" t="s">
        <v>34</v>
      </c>
      <c r="E139" s="2" t="s">
        <v>35</v>
      </c>
      <c r="F139" s="2" t="s">
        <v>33</v>
      </c>
      <c r="G139" s="5">
        <v>1470.28</v>
      </c>
      <c r="H139" s="7">
        <v>934.06</v>
      </c>
      <c r="I139" s="9">
        <f>(salesdata[[#This Row],[Profit]]/salesdata[[#This Row],[Sales]])*100</f>
        <v>63.52939576135158</v>
      </c>
    </row>
    <row r="140" spans="1:9" ht="14.25">
      <c r="A140" s="1" t="s">
        <v>22</v>
      </c>
      <c r="B140" s="2">
        <f t="shared" si="4"/>
        <v>12</v>
      </c>
      <c r="C140" s="2" t="s">
        <v>8</v>
      </c>
      <c r="D140" s="2" t="s">
        <v>14</v>
      </c>
      <c r="E140" s="2" t="s">
        <v>15</v>
      </c>
      <c r="F140" s="2" t="s">
        <v>27</v>
      </c>
      <c r="G140" s="5">
        <v>4247.75</v>
      </c>
      <c r="H140" s="7">
        <v>1950.02</v>
      </c>
      <c r="I140" s="9">
        <f>(salesdata[[#This Row],[Profit]]/salesdata[[#This Row],[Sales]])*100</f>
        <v>45.907127302689659</v>
      </c>
    </row>
    <row r="141" spans="1:9" ht="14.25">
      <c r="A141" s="1" t="s">
        <v>17</v>
      </c>
      <c r="B141" s="2">
        <f t="shared" si="4"/>
        <v>6</v>
      </c>
      <c r="C141" s="2" t="s">
        <v>8</v>
      </c>
      <c r="D141" s="2" t="s">
        <v>34</v>
      </c>
      <c r="E141" s="2" t="s">
        <v>56</v>
      </c>
      <c r="F141" s="2" t="s">
        <v>47</v>
      </c>
      <c r="G141" s="5">
        <v>3686.64</v>
      </c>
      <c r="H141" s="7">
        <v>187.65</v>
      </c>
      <c r="I141" s="9">
        <f>(salesdata[[#This Row],[Profit]]/salesdata[[#This Row],[Sales]])*100</f>
        <v>5.0900006509992846</v>
      </c>
    </row>
    <row r="142" spans="1:9" ht="14.25">
      <c r="A142" s="1" t="s">
        <v>36</v>
      </c>
      <c r="B142" s="2">
        <f t="shared" si="4"/>
        <v>1</v>
      </c>
      <c r="C142" s="2" t="s">
        <v>8</v>
      </c>
      <c r="D142" s="2" t="s">
        <v>23</v>
      </c>
      <c r="E142" s="2" t="s">
        <v>24</v>
      </c>
      <c r="F142" s="2" t="s">
        <v>33</v>
      </c>
      <c r="G142" s="5">
        <v>5623.85</v>
      </c>
      <c r="H142" s="7">
        <v>612.91</v>
      </c>
      <c r="I142" s="9">
        <f>(salesdata[[#This Row],[Profit]]/salesdata[[#This Row],[Sales]])*100</f>
        <v>10.898405896316579</v>
      </c>
    </row>
    <row r="143" spans="1:9" ht="14.25">
      <c r="A143" s="1" t="s">
        <v>12</v>
      </c>
      <c r="B143" s="2">
        <f t="shared" si="4"/>
        <v>11</v>
      </c>
      <c r="C143" s="2" t="s">
        <v>13</v>
      </c>
      <c r="D143" s="2" t="s">
        <v>9</v>
      </c>
      <c r="E143" s="2" t="s">
        <v>53</v>
      </c>
      <c r="F143" s="2" t="s">
        <v>16</v>
      </c>
      <c r="G143" s="5">
        <v>177.48</v>
      </c>
      <c r="H143" s="7">
        <v>125.73</v>
      </c>
      <c r="I143" s="9">
        <f>(salesdata[[#This Row],[Profit]]/salesdata[[#This Row],[Sales]])*100</f>
        <v>70.841784989858013</v>
      </c>
    </row>
    <row r="144" spans="1:9" ht="14.25">
      <c r="A144" s="1" t="s">
        <v>28</v>
      </c>
      <c r="B144" s="2">
        <f t="shared" si="4"/>
        <v>3</v>
      </c>
      <c r="C144" s="2" t="s">
        <v>18</v>
      </c>
      <c r="D144" s="2" t="s">
        <v>19</v>
      </c>
      <c r="E144" s="2" t="s">
        <v>41</v>
      </c>
      <c r="F144" s="2" t="s">
        <v>27</v>
      </c>
      <c r="G144" s="5">
        <v>3789.4</v>
      </c>
      <c r="H144" s="7">
        <v>898.71</v>
      </c>
      <c r="I144" s="9">
        <f>(salesdata[[#This Row],[Profit]]/salesdata[[#This Row],[Sales]])*100</f>
        <v>23.716419485934448</v>
      </c>
    </row>
    <row r="145" spans="1:9" ht="14.25">
      <c r="A145" s="1" t="s">
        <v>39</v>
      </c>
      <c r="B145" s="2">
        <f t="shared" si="4"/>
        <v>4</v>
      </c>
      <c r="C145" s="2" t="s">
        <v>48</v>
      </c>
      <c r="D145" s="2" t="s">
        <v>23</v>
      </c>
      <c r="E145" s="2" t="s">
        <v>44</v>
      </c>
      <c r="F145" s="2" t="s">
        <v>47</v>
      </c>
      <c r="G145" s="5">
        <v>3978.59</v>
      </c>
      <c r="H145" s="7">
        <v>1547.92</v>
      </c>
      <c r="I145" s="9">
        <f>(salesdata[[#This Row],[Profit]]/salesdata[[#This Row],[Sales]])*100</f>
        <v>38.906245680002208</v>
      </c>
    </row>
    <row r="146" spans="1:9" ht="14.25">
      <c r="A146" s="1" t="s">
        <v>37</v>
      </c>
      <c r="B146" s="2">
        <f t="shared" si="4"/>
        <v>7</v>
      </c>
      <c r="C146" s="2" t="s">
        <v>29</v>
      </c>
      <c r="D146" s="2" t="s">
        <v>34</v>
      </c>
      <c r="E146" s="2" t="s">
        <v>56</v>
      </c>
      <c r="F146" s="2" t="s">
        <v>11</v>
      </c>
      <c r="G146" s="5">
        <v>3113.91</v>
      </c>
      <c r="H146" s="7">
        <v>1677.53</v>
      </c>
      <c r="I146" s="9">
        <f>(salesdata[[#This Row],[Profit]]/salesdata[[#This Row],[Sales]])*100</f>
        <v>53.872141455597621</v>
      </c>
    </row>
    <row r="147" spans="1:9" ht="14.25">
      <c r="A147" s="1" t="s">
        <v>54</v>
      </c>
      <c r="B147" s="2">
        <f t="shared" si="4"/>
        <v>9</v>
      </c>
      <c r="C147" s="2" t="s">
        <v>48</v>
      </c>
      <c r="D147" s="2" t="s">
        <v>23</v>
      </c>
      <c r="E147" s="2" t="s">
        <v>55</v>
      </c>
      <c r="F147" s="2" t="s">
        <v>27</v>
      </c>
      <c r="G147" s="5">
        <v>7246.84</v>
      </c>
      <c r="H147" s="7">
        <v>6341.08</v>
      </c>
      <c r="I147" s="9">
        <f>(salesdata[[#This Row],[Profit]]/salesdata[[#This Row],[Sales]])*100</f>
        <v>87.501310916206236</v>
      </c>
    </row>
    <row r="148" spans="1:9" ht="14.25">
      <c r="A148" s="1" t="s">
        <v>28</v>
      </c>
      <c r="B148" s="2">
        <f t="shared" si="4"/>
        <v>3</v>
      </c>
      <c r="C148" s="2" t="s">
        <v>13</v>
      </c>
      <c r="D148" s="2" t="s">
        <v>14</v>
      </c>
      <c r="E148" s="2" t="s">
        <v>26</v>
      </c>
      <c r="F148" s="2" t="s">
        <v>11</v>
      </c>
      <c r="G148" s="5">
        <v>1732.96</v>
      </c>
      <c r="H148" s="7">
        <v>841.81</v>
      </c>
      <c r="I148" s="9">
        <f>(salesdata[[#This Row],[Profit]]/salesdata[[#This Row],[Sales]])*100</f>
        <v>48.576424152894468</v>
      </c>
    </row>
    <row r="149" spans="1:9" ht="14.25">
      <c r="A149" s="1" t="s">
        <v>22</v>
      </c>
      <c r="B149" s="2">
        <f t="shared" si="4"/>
        <v>12</v>
      </c>
      <c r="C149" s="2" t="s">
        <v>8</v>
      </c>
      <c r="D149" s="2" t="s">
        <v>9</v>
      </c>
      <c r="E149" s="2" t="s">
        <v>53</v>
      </c>
      <c r="F149" s="2" t="s">
        <v>27</v>
      </c>
      <c r="G149" s="5">
        <v>2353.96</v>
      </c>
      <c r="H149" s="7">
        <v>234.17</v>
      </c>
      <c r="I149" s="9">
        <f>(salesdata[[#This Row],[Profit]]/salesdata[[#This Row],[Sales]])*100</f>
        <v>9.9479175517001117</v>
      </c>
    </row>
    <row r="150" spans="1:9" ht="14.25">
      <c r="A150" s="1" t="s">
        <v>39</v>
      </c>
      <c r="B150" s="2">
        <f t="shared" si="4"/>
        <v>4</v>
      </c>
      <c r="C150" s="2" t="s">
        <v>18</v>
      </c>
      <c r="D150" s="2" t="s">
        <v>23</v>
      </c>
      <c r="E150" s="2" t="s">
        <v>24</v>
      </c>
      <c r="F150" s="2" t="s">
        <v>21</v>
      </c>
      <c r="G150" s="5">
        <v>8712.7999999999993</v>
      </c>
      <c r="H150" s="7">
        <v>5509.81</v>
      </c>
      <c r="I150" s="9">
        <f>(salesdata[[#This Row],[Profit]]/salesdata[[#This Row],[Sales]])*100</f>
        <v>63.238109448168224</v>
      </c>
    </row>
    <row r="151" spans="1:9" ht="14.25">
      <c r="A151" s="1" t="s">
        <v>40</v>
      </c>
      <c r="B151" s="2">
        <f t="shared" si="4"/>
        <v>8</v>
      </c>
      <c r="C151" s="2" t="s">
        <v>13</v>
      </c>
      <c r="D151" s="2" t="s">
        <v>19</v>
      </c>
      <c r="E151" s="2" t="s">
        <v>52</v>
      </c>
      <c r="F151" s="2" t="s">
        <v>11</v>
      </c>
      <c r="G151" s="5">
        <v>3338.63</v>
      </c>
      <c r="H151" s="7">
        <v>907.11</v>
      </c>
      <c r="I151" s="9">
        <f>(salesdata[[#This Row],[Profit]]/salesdata[[#This Row],[Sales]])*100</f>
        <v>27.170126668723398</v>
      </c>
    </row>
    <row r="152" spans="1:9" ht="14.25">
      <c r="A152" s="1" t="s">
        <v>25</v>
      </c>
      <c r="B152" s="2">
        <f t="shared" si="4"/>
        <v>2</v>
      </c>
      <c r="C152" s="2" t="s">
        <v>8</v>
      </c>
      <c r="D152" s="2" t="s">
        <v>9</v>
      </c>
      <c r="E152" s="2" t="s">
        <v>10</v>
      </c>
      <c r="F152" s="2" t="s">
        <v>33</v>
      </c>
      <c r="G152" s="5">
        <v>9974.5499999999993</v>
      </c>
      <c r="H152" s="7">
        <v>6660.93</v>
      </c>
      <c r="I152" s="9">
        <f>(salesdata[[#This Row],[Profit]]/salesdata[[#This Row],[Sales]])*100</f>
        <v>66.779253199392457</v>
      </c>
    </row>
    <row r="153" spans="1:9" ht="14.25">
      <c r="A153" s="1" t="s">
        <v>40</v>
      </c>
      <c r="B153" s="2">
        <f t="shared" si="4"/>
        <v>8</v>
      </c>
      <c r="C153" s="2" t="s">
        <v>31</v>
      </c>
      <c r="D153" s="2" t="s">
        <v>19</v>
      </c>
      <c r="E153" s="2" t="s">
        <v>32</v>
      </c>
      <c r="F153" s="2" t="s">
        <v>11</v>
      </c>
      <c r="G153" s="5">
        <v>105.17</v>
      </c>
      <c r="H153" s="7">
        <v>48.49</v>
      </c>
      <c r="I153" s="9">
        <f>(salesdata[[#This Row],[Profit]]/salesdata[[#This Row],[Sales]])*100</f>
        <v>46.106304079110011</v>
      </c>
    </row>
    <row r="154" spans="1:9" ht="14.25">
      <c r="A154" s="1" t="s">
        <v>7</v>
      </c>
      <c r="B154" s="2">
        <f t="shared" si="4"/>
        <v>5</v>
      </c>
      <c r="C154" s="2" t="s">
        <v>18</v>
      </c>
      <c r="D154" s="2" t="s">
        <v>34</v>
      </c>
      <c r="E154" s="2" t="s">
        <v>49</v>
      </c>
      <c r="F154" s="2" t="s">
        <v>21</v>
      </c>
      <c r="G154" s="5">
        <v>3730.68</v>
      </c>
      <c r="H154" s="7">
        <v>245.32</v>
      </c>
      <c r="I154" s="9">
        <f>(salesdata[[#This Row],[Profit]]/salesdata[[#This Row],[Sales]])*100</f>
        <v>6.5757449044142087</v>
      </c>
    </row>
    <row r="155" spans="1:9" ht="14.25">
      <c r="A155" s="1" t="s">
        <v>39</v>
      </c>
      <c r="B155" s="2">
        <f t="shared" si="4"/>
        <v>4</v>
      </c>
      <c r="C155" s="2" t="s">
        <v>13</v>
      </c>
      <c r="D155" s="2" t="s">
        <v>34</v>
      </c>
      <c r="E155" s="2" t="s">
        <v>56</v>
      </c>
      <c r="F155" s="2" t="s">
        <v>47</v>
      </c>
      <c r="G155" s="5">
        <v>845.25</v>
      </c>
      <c r="H155" s="7">
        <v>281.74</v>
      </c>
      <c r="I155" s="9">
        <f>(salesdata[[#This Row],[Profit]]/salesdata[[#This Row],[Sales]])*100</f>
        <v>33.332150251404912</v>
      </c>
    </row>
    <row r="156" spans="1:9" ht="14.25">
      <c r="A156" s="1" t="s">
        <v>7</v>
      </c>
      <c r="B156" s="2">
        <f t="shared" si="4"/>
        <v>5</v>
      </c>
      <c r="C156" s="2" t="s">
        <v>29</v>
      </c>
      <c r="D156" s="2" t="s">
        <v>34</v>
      </c>
      <c r="E156" s="2" t="s">
        <v>49</v>
      </c>
      <c r="F156" s="2" t="s">
        <v>16</v>
      </c>
      <c r="G156" s="5">
        <v>1372.49</v>
      </c>
      <c r="H156" s="7">
        <v>683.4</v>
      </c>
      <c r="I156" s="9">
        <f>(salesdata[[#This Row],[Profit]]/salesdata[[#This Row],[Sales]])*100</f>
        <v>49.79271251520958</v>
      </c>
    </row>
    <row r="157" spans="1:9" ht="14.25">
      <c r="A157" s="1" t="s">
        <v>22</v>
      </c>
      <c r="B157" s="2">
        <f t="shared" si="4"/>
        <v>12</v>
      </c>
      <c r="C157" s="2" t="s">
        <v>29</v>
      </c>
      <c r="D157" s="2" t="s">
        <v>14</v>
      </c>
      <c r="E157" s="2" t="s">
        <v>26</v>
      </c>
      <c r="F157" s="2" t="s">
        <v>16</v>
      </c>
      <c r="G157" s="5">
        <v>1529.93</v>
      </c>
      <c r="H157" s="7">
        <v>649.89</v>
      </c>
      <c r="I157" s="9">
        <f>(salesdata[[#This Row],[Profit]]/salesdata[[#This Row],[Sales]])*100</f>
        <v>42.478414045087028</v>
      </c>
    </row>
    <row r="158" spans="1:9" ht="14.25">
      <c r="A158" s="1" t="s">
        <v>39</v>
      </c>
      <c r="B158" s="2">
        <f t="shared" si="4"/>
        <v>4</v>
      </c>
      <c r="C158" s="2" t="s">
        <v>8</v>
      </c>
      <c r="D158" s="2" t="s">
        <v>34</v>
      </c>
      <c r="E158" s="2" t="s">
        <v>35</v>
      </c>
      <c r="F158" s="2" t="s">
        <v>11</v>
      </c>
      <c r="G158" s="5">
        <v>5744.71</v>
      </c>
      <c r="H158" s="7">
        <v>849.52</v>
      </c>
      <c r="I158" s="9">
        <f>(salesdata[[#This Row],[Profit]]/salesdata[[#This Row],[Sales]])*100</f>
        <v>14.787865706014749</v>
      </c>
    </row>
    <row r="159" spans="1:9" ht="14.25">
      <c r="A159" s="1" t="s">
        <v>25</v>
      </c>
      <c r="B159" s="2">
        <f t="shared" si="4"/>
        <v>2</v>
      </c>
      <c r="C159" s="2" t="s">
        <v>18</v>
      </c>
      <c r="D159" s="2" t="s">
        <v>19</v>
      </c>
      <c r="E159" s="2" t="s">
        <v>52</v>
      </c>
      <c r="F159" s="2" t="s">
        <v>21</v>
      </c>
      <c r="G159" s="5">
        <v>2089.1</v>
      </c>
      <c r="H159" s="7">
        <v>1146.1199999999999</v>
      </c>
      <c r="I159" s="9">
        <f>(salesdata[[#This Row],[Profit]]/salesdata[[#This Row],[Sales]])*100</f>
        <v>54.861902254559382</v>
      </c>
    </row>
    <row r="160" spans="1:9" ht="14.25">
      <c r="A160" s="1" t="s">
        <v>51</v>
      </c>
      <c r="B160" s="2">
        <f t="shared" si="4"/>
        <v>10</v>
      </c>
      <c r="C160" s="2" t="s">
        <v>13</v>
      </c>
      <c r="D160" s="2" t="s">
        <v>34</v>
      </c>
      <c r="E160" s="2" t="s">
        <v>49</v>
      </c>
      <c r="F160" s="2" t="s">
        <v>47</v>
      </c>
      <c r="G160" s="5">
        <v>4865.1099999999997</v>
      </c>
      <c r="H160" s="7">
        <v>3032.02</v>
      </c>
      <c r="I160" s="9">
        <f>(salesdata[[#This Row],[Profit]]/salesdata[[#This Row],[Sales]])*100</f>
        <v>62.321715233571297</v>
      </c>
    </row>
    <row r="161" spans="1:9" ht="14.25">
      <c r="A161" s="1" t="s">
        <v>17</v>
      </c>
      <c r="B161" s="2">
        <f t="shared" si="4"/>
        <v>6</v>
      </c>
      <c r="C161" s="2" t="s">
        <v>13</v>
      </c>
      <c r="D161" s="2" t="s">
        <v>19</v>
      </c>
      <c r="E161" s="2" t="s">
        <v>52</v>
      </c>
      <c r="F161" s="2" t="s">
        <v>47</v>
      </c>
      <c r="G161" s="5">
        <v>9241.23</v>
      </c>
      <c r="H161" s="7">
        <v>3388.77</v>
      </c>
      <c r="I161" s="9">
        <f>(salesdata[[#This Row],[Profit]]/salesdata[[#This Row],[Sales]])*100</f>
        <v>36.670118588110022</v>
      </c>
    </row>
    <row r="162" spans="1:9" ht="14.25">
      <c r="A162" s="1" t="s">
        <v>37</v>
      </c>
      <c r="B162" s="2">
        <f t="shared" ref="B162:B193" si="5">MONTH(DATEVALUE(A162 &amp; " 1"))</f>
        <v>7</v>
      </c>
      <c r="C162" s="2" t="s">
        <v>18</v>
      </c>
      <c r="D162" s="2" t="s">
        <v>9</v>
      </c>
      <c r="E162" s="2" t="s">
        <v>53</v>
      </c>
      <c r="F162" s="2" t="s">
        <v>11</v>
      </c>
      <c r="G162" s="5">
        <v>736.99</v>
      </c>
      <c r="H162" s="7">
        <v>342.46</v>
      </c>
      <c r="I162" s="9">
        <f>(salesdata[[#This Row],[Profit]]/salesdata[[#This Row],[Sales]])*100</f>
        <v>46.467387617199684</v>
      </c>
    </row>
    <row r="163" spans="1:9" ht="14.25">
      <c r="A163" s="1" t="s">
        <v>25</v>
      </c>
      <c r="B163" s="2">
        <f t="shared" si="5"/>
        <v>2</v>
      </c>
      <c r="C163" s="2" t="s">
        <v>29</v>
      </c>
      <c r="D163" s="2" t="s">
        <v>19</v>
      </c>
      <c r="E163" s="2" t="s">
        <v>32</v>
      </c>
      <c r="F163" s="2" t="s">
        <v>21</v>
      </c>
      <c r="G163" s="5">
        <v>4381.41</v>
      </c>
      <c r="H163" s="7">
        <v>3161.78</v>
      </c>
      <c r="I163" s="9">
        <f>(salesdata[[#This Row],[Profit]]/salesdata[[#This Row],[Sales]])*100</f>
        <v>72.163527266336644</v>
      </c>
    </row>
    <row r="164" spans="1:9" ht="14.25">
      <c r="A164" s="1" t="s">
        <v>51</v>
      </c>
      <c r="B164" s="2">
        <f t="shared" si="5"/>
        <v>10</v>
      </c>
      <c r="C164" s="2" t="s">
        <v>31</v>
      </c>
      <c r="D164" s="2" t="s">
        <v>23</v>
      </c>
      <c r="E164" s="2" t="s">
        <v>44</v>
      </c>
      <c r="F164" s="2" t="s">
        <v>11</v>
      </c>
      <c r="G164" s="5">
        <v>8924.4500000000007</v>
      </c>
      <c r="H164" s="7">
        <v>6743.86</v>
      </c>
      <c r="I164" s="9">
        <f>(salesdata[[#This Row],[Profit]]/salesdata[[#This Row],[Sales]])*100</f>
        <v>75.566113317907536</v>
      </c>
    </row>
    <row r="165" spans="1:9" ht="14.25">
      <c r="A165" s="1" t="s">
        <v>39</v>
      </c>
      <c r="B165" s="2">
        <f t="shared" si="5"/>
        <v>4</v>
      </c>
      <c r="C165" s="2" t="s">
        <v>31</v>
      </c>
      <c r="D165" s="2" t="s">
        <v>9</v>
      </c>
      <c r="E165" s="2" t="s">
        <v>53</v>
      </c>
      <c r="F165" s="2" t="s">
        <v>21</v>
      </c>
      <c r="G165" s="5">
        <v>4647.5</v>
      </c>
      <c r="H165" s="7">
        <v>1411.03</v>
      </c>
      <c r="I165" s="9">
        <f>(salesdata[[#This Row],[Profit]]/salesdata[[#This Row],[Sales]])*100</f>
        <v>30.361054330285096</v>
      </c>
    </row>
    <row r="166" spans="1:9" ht="14.25">
      <c r="A166" s="1" t="s">
        <v>36</v>
      </c>
      <c r="B166" s="2">
        <f t="shared" si="5"/>
        <v>1</v>
      </c>
      <c r="C166" s="2" t="s">
        <v>29</v>
      </c>
      <c r="D166" s="2" t="s">
        <v>19</v>
      </c>
      <c r="E166" s="2" t="s">
        <v>41</v>
      </c>
      <c r="F166" s="2" t="s">
        <v>21</v>
      </c>
      <c r="G166" s="5">
        <v>646.21</v>
      </c>
      <c r="H166" s="7">
        <v>179.19</v>
      </c>
      <c r="I166" s="9">
        <f>(salesdata[[#This Row],[Profit]]/salesdata[[#This Row],[Sales]])*100</f>
        <v>27.7293758994754</v>
      </c>
    </row>
    <row r="167" spans="1:9" ht="14.25">
      <c r="A167" s="1" t="s">
        <v>54</v>
      </c>
      <c r="B167" s="2">
        <f t="shared" si="5"/>
        <v>9</v>
      </c>
      <c r="C167" s="2" t="s">
        <v>8</v>
      </c>
      <c r="D167" s="2" t="s">
        <v>19</v>
      </c>
      <c r="E167" s="2" t="s">
        <v>41</v>
      </c>
      <c r="F167" s="2" t="s">
        <v>33</v>
      </c>
      <c r="G167" s="5">
        <v>7231.93</v>
      </c>
      <c r="H167" s="7">
        <v>5585.13</v>
      </c>
      <c r="I167" s="9">
        <f>(salesdata[[#This Row],[Profit]]/salesdata[[#This Row],[Sales]])*100</f>
        <v>77.22876189343647</v>
      </c>
    </row>
    <row r="168" spans="1:9" ht="14.25">
      <c r="A168" s="1" t="s">
        <v>7</v>
      </c>
      <c r="B168" s="2">
        <f t="shared" si="5"/>
        <v>5</v>
      </c>
      <c r="C168" s="2" t="s">
        <v>31</v>
      </c>
      <c r="D168" s="2" t="s">
        <v>19</v>
      </c>
      <c r="E168" s="2" t="s">
        <v>20</v>
      </c>
      <c r="F168" s="2" t="s">
        <v>11</v>
      </c>
      <c r="G168" s="5">
        <v>5540.59</v>
      </c>
      <c r="H168" s="7">
        <v>3996.05</v>
      </c>
      <c r="I168" s="9">
        <f>(salesdata[[#This Row],[Profit]]/salesdata[[#This Row],[Sales]])*100</f>
        <v>72.123185436930001</v>
      </c>
    </row>
    <row r="169" spans="1:9" ht="14.25">
      <c r="A169" s="1" t="s">
        <v>25</v>
      </c>
      <c r="B169" s="2">
        <f t="shared" si="5"/>
        <v>2</v>
      </c>
      <c r="C169" s="2" t="s">
        <v>8</v>
      </c>
      <c r="D169" s="2" t="s">
        <v>9</v>
      </c>
      <c r="E169" s="2" t="s">
        <v>50</v>
      </c>
      <c r="F169" s="2" t="s">
        <v>47</v>
      </c>
      <c r="G169" s="5">
        <v>9072.49</v>
      </c>
      <c r="H169" s="7">
        <v>301.48</v>
      </c>
      <c r="I169" s="9">
        <f>(salesdata[[#This Row],[Profit]]/salesdata[[#This Row],[Sales]])*100</f>
        <v>3.3230127561452258</v>
      </c>
    </row>
    <row r="170" spans="1:9" ht="14.25">
      <c r="A170" s="1" t="s">
        <v>51</v>
      </c>
      <c r="B170" s="2">
        <f t="shared" si="5"/>
        <v>10</v>
      </c>
      <c r="C170" s="2" t="s">
        <v>13</v>
      </c>
      <c r="D170" s="2" t="s">
        <v>23</v>
      </c>
      <c r="E170" s="2" t="s">
        <v>44</v>
      </c>
      <c r="F170" s="2" t="s">
        <v>21</v>
      </c>
      <c r="G170" s="5">
        <v>4720.6000000000004</v>
      </c>
      <c r="H170" s="7">
        <v>3435.36</v>
      </c>
      <c r="I170" s="9">
        <f>(salesdata[[#This Row],[Profit]]/salesdata[[#This Row],[Sales]])*100</f>
        <v>72.773799940685507</v>
      </c>
    </row>
    <row r="171" spans="1:9" ht="14.25">
      <c r="A171" s="1" t="s">
        <v>40</v>
      </c>
      <c r="B171" s="2">
        <f t="shared" si="5"/>
        <v>8</v>
      </c>
      <c r="C171" s="2" t="s">
        <v>31</v>
      </c>
      <c r="D171" s="2" t="s">
        <v>9</v>
      </c>
      <c r="E171" s="2" t="s">
        <v>46</v>
      </c>
      <c r="F171" s="2" t="s">
        <v>11</v>
      </c>
      <c r="G171" s="5">
        <v>1649.91</v>
      </c>
      <c r="H171" s="7">
        <v>483.23</v>
      </c>
      <c r="I171" s="9">
        <f>(salesdata[[#This Row],[Profit]]/salesdata[[#This Row],[Sales]])*100</f>
        <v>29.288264208350757</v>
      </c>
    </row>
    <row r="172" spans="1:9" ht="14.25">
      <c r="A172" s="1" t="s">
        <v>37</v>
      </c>
      <c r="B172" s="2">
        <f t="shared" si="5"/>
        <v>7</v>
      </c>
      <c r="C172" s="2" t="s">
        <v>29</v>
      </c>
      <c r="D172" s="2" t="s">
        <v>19</v>
      </c>
      <c r="E172" s="2" t="s">
        <v>41</v>
      </c>
      <c r="F172" s="2" t="s">
        <v>27</v>
      </c>
      <c r="G172" s="5">
        <v>4336.97</v>
      </c>
      <c r="H172" s="7">
        <v>2669.37</v>
      </c>
      <c r="I172" s="9">
        <f>(salesdata[[#This Row],[Profit]]/salesdata[[#This Row],[Sales]])*100</f>
        <v>61.549192177949116</v>
      </c>
    </row>
    <row r="173" spans="1:9" ht="14.25">
      <c r="A173" s="1" t="s">
        <v>12</v>
      </c>
      <c r="B173" s="2">
        <f t="shared" si="5"/>
        <v>11</v>
      </c>
      <c r="C173" s="2" t="s">
        <v>29</v>
      </c>
      <c r="D173" s="2" t="s">
        <v>34</v>
      </c>
      <c r="E173" s="2" t="s">
        <v>35</v>
      </c>
      <c r="F173" s="2" t="s">
        <v>11</v>
      </c>
      <c r="G173" s="5">
        <v>3670.36</v>
      </c>
      <c r="H173" s="7">
        <v>2315.29</v>
      </c>
      <c r="I173" s="9">
        <f>(salesdata[[#This Row],[Profit]]/salesdata[[#This Row],[Sales]])*100</f>
        <v>63.080733225078731</v>
      </c>
    </row>
    <row r="174" spans="1:9" ht="14.25">
      <c r="A174" s="1" t="s">
        <v>17</v>
      </c>
      <c r="B174" s="2">
        <f t="shared" si="5"/>
        <v>6</v>
      </c>
      <c r="C174" s="2" t="s">
        <v>38</v>
      </c>
      <c r="D174" s="2" t="s">
        <v>14</v>
      </c>
      <c r="E174" s="2" t="s">
        <v>15</v>
      </c>
      <c r="F174" s="2" t="s">
        <v>21</v>
      </c>
      <c r="G174" s="5">
        <v>3571.26</v>
      </c>
      <c r="H174" s="7">
        <v>933.79</v>
      </c>
      <c r="I174" s="9">
        <f>(salesdata[[#This Row],[Profit]]/salesdata[[#This Row],[Sales]])*100</f>
        <v>26.147354155116119</v>
      </c>
    </row>
    <row r="175" spans="1:9" ht="14.25">
      <c r="A175" s="1" t="s">
        <v>17</v>
      </c>
      <c r="B175" s="2">
        <f t="shared" si="5"/>
        <v>6</v>
      </c>
      <c r="C175" s="2" t="s">
        <v>48</v>
      </c>
      <c r="D175" s="2" t="s">
        <v>19</v>
      </c>
      <c r="E175" s="2" t="s">
        <v>20</v>
      </c>
      <c r="F175" s="2" t="s">
        <v>47</v>
      </c>
      <c r="G175" s="5">
        <v>5174.9799999999996</v>
      </c>
      <c r="H175" s="7">
        <v>3905.3</v>
      </c>
      <c r="I175" s="9">
        <f>(salesdata[[#This Row],[Profit]]/salesdata[[#This Row],[Sales]])*100</f>
        <v>75.465025951791134</v>
      </c>
    </row>
    <row r="176" spans="1:9" ht="14.25">
      <c r="A176" s="1" t="s">
        <v>37</v>
      </c>
      <c r="B176" s="2">
        <f t="shared" si="5"/>
        <v>7</v>
      </c>
      <c r="C176" s="2" t="s">
        <v>48</v>
      </c>
      <c r="D176" s="2" t="s">
        <v>14</v>
      </c>
      <c r="E176" s="2" t="s">
        <v>15</v>
      </c>
      <c r="F176" s="2" t="s">
        <v>27</v>
      </c>
      <c r="G176" s="5">
        <v>9598.06</v>
      </c>
      <c r="H176" s="7">
        <v>6029.98</v>
      </c>
      <c r="I176" s="9">
        <f>(salesdata[[#This Row],[Profit]]/salesdata[[#This Row],[Sales]])*100</f>
        <v>62.824987549567311</v>
      </c>
    </row>
    <row r="177" spans="1:9" ht="14.25">
      <c r="A177" s="1" t="s">
        <v>39</v>
      </c>
      <c r="B177" s="2">
        <f t="shared" si="5"/>
        <v>4</v>
      </c>
      <c r="C177" s="2" t="s">
        <v>18</v>
      </c>
      <c r="D177" s="2" t="s">
        <v>9</v>
      </c>
      <c r="E177" s="2" t="s">
        <v>53</v>
      </c>
      <c r="F177" s="2" t="s">
        <v>27</v>
      </c>
      <c r="G177" s="5">
        <v>8465.58</v>
      </c>
      <c r="H177" s="7">
        <v>5340.76</v>
      </c>
      <c r="I177" s="9">
        <f>(salesdata[[#This Row],[Profit]]/salesdata[[#This Row],[Sales]])*100</f>
        <v>63.087939633197024</v>
      </c>
    </row>
    <row r="178" spans="1:9" ht="14.25">
      <c r="A178" s="1" t="s">
        <v>25</v>
      </c>
      <c r="B178" s="2">
        <f t="shared" si="5"/>
        <v>2</v>
      </c>
      <c r="C178" s="2" t="s">
        <v>18</v>
      </c>
      <c r="D178" s="2" t="s">
        <v>23</v>
      </c>
      <c r="E178" s="2" t="s">
        <v>44</v>
      </c>
      <c r="F178" s="2" t="s">
        <v>11</v>
      </c>
      <c r="G178" s="5">
        <v>4287.16</v>
      </c>
      <c r="H178" s="7">
        <v>3680.53</v>
      </c>
      <c r="I178" s="9">
        <f>(salesdata[[#This Row],[Profit]]/salesdata[[#This Row],[Sales]])*100</f>
        <v>85.85007324195972</v>
      </c>
    </row>
    <row r="179" spans="1:9" ht="14.25">
      <c r="A179" s="1" t="s">
        <v>12</v>
      </c>
      <c r="B179" s="2">
        <f t="shared" si="5"/>
        <v>11</v>
      </c>
      <c r="C179" s="2" t="s">
        <v>29</v>
      </c>
      <c r="D179" s="2" t="s">
        <v>34</v>
      </c>
      <c r="E179" s="2" t="s">
        <v>43</v>
      </c>
      <c r="F179" s="2" t="s">
        <v>27</v>
      </c>
      <c r="G179" s="5">
        <v>6911.46</v>
      </c>
      <c r="H179" s="7">
        <v>5784.12</v>
      </c>
      <c r="I179" s="9">
        <f>(salesdata[[#This Row],[Profit]]/salesdata[[#This Row],[Sales]])*100</f>
        <v>83.688829856499197</v>
      </c>
    </row>
    <row r="180" spans="1:9" ht="14.25">
      <c r="A180" s="1" t="s">
        <v>36</v>
      </c>
      <c r="B180" s="2">
        <f t="shared" si="5"/>
        <v>1</v>
      </c>
      <c r="C180" s="2" t="s">
        <v>31</v>
      </c>
      <c r="D180" s="2" t="s">
        <v>9</v>
      </c>
      <c r="E180" s="2" t="s">
        <v>50</v>
      </c>
      <c r="F180" s="2" t="s">
        <v>21</v>
      </c>
      <c r="G180" s="5">
        <v>9380.16</v>
      </c>
      <c r="H180" s="7">
        <v>6707.4</v>
      </c>
      <c r="I180" s="9">
        <f>(salesdata[[#This Row],[Profit]]/salesdata[[#This Row],[Sales]])*100</f>
        <v>71.50624296387268</v>
      </c>
    </row>
    <row r="181" spans="1:9" ht="14.25">
      <c r="A181" s="1" t="s">
        <v>40</v>
      </c>
      <c r="B181" s="2">
        <f t="shared" si="5"/>
        <v>8</v>
      </c>
      <c r="C181" s="2" t="s">
        <v>38</v>
      </c>
      <c r="D181" s="2" t="s">
        <v>23</v>
      </c>
      <c r="E181" s="2" t="s">
        <v>55</v>
      </c>
      <c r="F181" s="2" t="s">
        <v>11</v>
      </c>
      <c r="G181" s="5">
        <v>4770.8599999999997</v>
      </c>
      <c r="H181" s="7">
        <v>522.48</v>
      </c>
      <c r="I181" s="9">
        <f>(salesdata[[#This Row],[Profit]]/salesdata[[#This Row],[Sales]])*100</f>
        <v>10.951484637989797</v>
      </c>
    </row>
    <row r="182" spans="1:9" ht="14.25">
      <c r="A182" s="1" t="s">
        <v>17</v>
      </c>
      <c r="B182" s="2">
        <f t="shared" si="5"/>
        <v>6</v>
      </c>
      <c r="C182" s="2" t="s">
        <v>38</v>
      </c>
      <c r="D182" s="2" t="s">
        <v>9</v>
      </c>
      <c r="E182" s="2" t="s">
        <v>46</v>
      </c>
      <c r="F182" s="2" t="s">
        <v>11</v>
      </c>
      <c r="G182" s="5">
        <v>7013.11</v>
      </c>
      <c r="H182" s="7">
        <v>4490.7299999999996</v>
      </c>
      <c r="I182" s="9">
        <f>(salesdata[[#This Row],[Profit]]/salesdata[[#This Row],[Sales]])*100</f>
        <v>64.033360377920772</v>
      </c>
    </row>
    <row r="183" spans="1:9" ht="14.25">
      <c r="A183" s="1" t="s">
        <v>36</v>
      </c>
      <c r="B183" s="2">
        <f t="shared" si="5"/>
        <v>1</v>
      </c>
      <c r="C183" s="2" t="s">
        <v>18</v>
      </c>
      <c r="D183" s="2" t="s">
        <v>19</v>
      </c>
      <c r="E183" s="2" t="s">
        <v>41</v>
      </c>
      <c r="F183" s="2" t="s">
        <v>16</v>
      </c>
      <c r="G183" s="5">
        <v>7246.39</v>
      </c>
      <c r="H183" s="7">
        <v>2766.01</v>
      </c>
      <c r="I183" s="9">
        <f>(salesdata[[#This Row],[Profit]]/salesdata[[#This Row],[Sales]])*100</f>
        <v>38.17086852901928</v>
      </c>
    </row>
    <row r="184" spans="1:9" ht="14.25">
      <c r="A184" s="1" t="s">
        <v>17</v>
      </c>
      <c r="B184" s="2">
        <f t="shared" si="5"/>
        <v>6</v>
      </c>
      <c r="C184" s="2" t="s">
        <v>13</v>
      </c>
      <c r="D184" s="2" t="s">
        <v>9</v>
      </c>
      <c r="E184" s="2" t="s">
        <v>50</v>
      </c>
      <c r="F184" s="2" t="s">
        <v>11</v>
      </c>
      <c r="G184" s="5">
        <v>7510.31</v>
      </c>
      <c r="H184" s="7">
        <v>2202.1</v>
      </c>
      <c r="I184" s="9">
        <f>(salesdata[[#This Row],[Profit]]/salesdata[[#This Row],[Sales]])*100</f>
        <v>29.321026695302855</v>
      </c>
    </row>
    <row r="185" spans="1:9" ht="14.25">
      <c r="A185" s="1" t="s">
        <v>36</v>
      </c>
      <c r="B185" s="2">
        <f t="shared" si="5"/>
        <v>1</v>
      </c>
      <c r="C185" s="2" t="s">
        <v>29</v>
      </c>
      <c r="D185" s="2" t="s">
        <v>19</v>
      </c>
      <c r="E185" s="2" t="s">
        <v>41</v>
      </c>
      <c r="F185" s="2" t="s">
        <v>33</v>
      </c>
      <c r="G185" s="5">
        <v>7907.65</v>
      </c>
      <c r="H185" s="7">
        <v>1177.95</v>
      </c>
      <c r="I185" s="9">
        <f>(salesdata[[#This Row],[Profit]]/salesdata[[#This Row],[Sales]])*100</f>
        <v>14.896334562101258</v>
      </c>
    </row>
    <row r="186" spans="1:9" ht="14.25">
      <c r="A186" s="1" t="s">
        <v>7</v>
      </c>
      <c r="B186" s="2">
        <f t="shared" si="5"/>
        <v>5</v>
      </c>
      <c r="C186" s="2" t="s">
        <v>31</v>
      </c>
      <c r="D186" s="2" t="s">
        <v>14</v>
      </c>
      <c r="E186" s="2" t="s">
        <v>45</v>
      </c>
      <c r="F186" s="2" t="s">
        <v>27</v>
      </c>
      <c r="G186" s="5">
        <v>610.66999999999996</v>
      </c>
      <c r="H186" s="7">
        <v>186.29</v>
      </c>
      <c r="I186" s="9">
        <f>(salesdata[[#This Row],[Profit]]/salesdata[[#This Row],[Sales]])*100</f>
        <v>30.505837850230076</v>
      </c>
    </row>
    <row r="187" spans="1:9" ht="14.25">
      <c r="A187" s="1" t="s">
        <v>40</v>
      </c>
      <c r="B187" s="2">
        <f t="shared" si="5"/>
        <v>8</v>
      </c>
      <c r="C187" s="2" t="s">
        <v>48</v>
      </c>
      <c r="D187" s="2" t="s">
        <v>14</v>
      </c>
      <c r="E187" s="2" t="s">
        <v>15</v>
      </c>
      <c r="F187" s="2" t="s">
        <v>21</v>
      </c>
      <c r="G187" s="5">
        <v>6755.38</v>
      </c>
      <c r="H187" s="7">
        <v>5469.79</v>
      </c>
      <c r="I187" s="9">
        <f>(salesdata[[#This Row],[Profit]]/salesdata[[#This Row],[Sales]])*100</f>
        <v>80.969390322972217</v>
      </c>
    </row>
    <row r="188" spans="1:9" ht="14.25">
      <c r="A188" s="1" t="s">
        <v>39</v>
      </c>
      <c r="B188" s="2">
        <f t="shared" si="5"/>
        <v>4</v>
      </c>
      <c r="C188" s="2" t="s">
        <v>31</v>
      </c>
      <c r="D188" s="2" t="s">
        <v>9</v>
      </c>
      <c r="E188" s="2" t="s">
        <v>46</v>
      </c>
      <c r="F188" s="2" t="s">
        <v>16</v>
      </c>
      <c r="G188" s="5">
        <v>6786.68</v>
      </c>
      <c r="H188" s="7">
        <v>3240.54</v>
      </c>
      <c r="I188" s="9">
        <f>(salesdata[[#This Row],[Profit]]/salesdata[[#This Row],[Sales]])*100</f>
        <v>47.748530945911696</v>
      </c>
    </row>
    <row r="189" spans="1:9" ht="14.25">
      <c r="A189" s="1" t="s">
        <v>51</v>
      </c>
      <c r="B189" s="2">
        <f t="shared" si="5"/>
        <v>10</v>
      </c>
      <c r="C189" s="2" t="s">
        <v>13</v>
      </c>
      <c r="D189" s="2" t="s">
        <v>9</v>
      </c>
      <c r="E189" s="2" t="s">
        <v>50</v>
      </c>
      <c r="F189" s="2" t="s">
        <v>21</v>
      </c>
      <c r="G189" s="5">
        <v>2233.15</v>
      </c>
      <c r="H189" s="7">
        <v>569.79</v>
      </c>
      <c r="I189" s="9">
        <f>(salesdata[[#This Row],[Profit]]/salesdata[[#This Row],[Sales]])*100</f>
        <v>25.515079596086242</v>
      </c>
    </row>
    <row r="190" spans="1:9" ht="14.25">
      <c r="A190" s="1" t="s">
        <v>39</v>
      </c>
      <c r="B190" s="2">
        <f t="shared" si="5"/>
        <v>4</v>
      </c>
      <c r="C190" s="2" t="s">
        <v>29</v>
      </c>
      <c r="D190" s="2" t="s">
        <v>19</v>
      </c>
      <c r="E190" s="2" t="s">
        <v>41</v>
      </c>
      <c r="F190" s="2" t="s">
        <v>47</v>
      </c>
      <c r="G190" s="5">
        <v>1024.99</v>
      </c>
      <c r="H190" s="7">
        <v>20.11</v>
      </c>
      <c r="I190" s="9">
        <f>(salesdata[[#This Row],[Profit]]/salesdata[[#This Row],[Sales]])*100</f>
        <v>1.9619703606864456</v>
      </c>
    </row>
    <row r="191" spans="1:9" ht="14.25">
      <c r="A191" s="1" t="s">
        <v>36</v>
      </c>
      <c r="B191" s="2">
        <f t="shared" si="5"/>
        <v>1</v>
      </c>
      <c r="C191" s="2" t="s">
        <v>29</v>
      </c>
      <c r="D191" s="2" t="s">
        <v>9</v>
      </c>
      <c r="E191" s="2" t="s">
        <v>50</v>
      </c>
      <c r="F191" s="2" t="s">
        <v>33</v>
      </c>
      <c r="G191" s="5">
        <v>2166.4299999999998</v>
      </c>
      <c r="H191" s="7">
        <v>1904.84</v>
      </c>
      <c r="I191" s="9">
        <f>(salesdata[[#This Row],[Profit]]/salesdata[[#This Row],[Sales]])*100</f>
        <v>87.925296455458977</v>
      </c>
    </row>
    <row r="192" spans="1:9" ht="14.25">
      <c r="A192" s="1" t="s">
        <v>28</v>
      </c>
      <c r="B192" s="2">
        <f t="shared" si="5"/>
        <v>3</v>
      </c>
      <c r="C192" s="2" t="s">
        <v>8</v>
      </c>
      <c r="D192" s="2" t="s">
        <v>23</v>
      </c>
      <c r="E192" s="2" t="s">
        <v>44</v>
      </c>
      <c r="F192" s="2" t="s">
        <v>47</v>
      </c>
      <c r="G192" s="5">
        <v>1818.76</v>
      </c>
      <c r="H192" s="7">
        <v>126.42</v>
      </c>
      <c r="I192" s="9">
        <f>(salesdata[[#This Row],[Profit]]/salesdata[[#This Row],[Sales]])*100</f>
        <v>6.9508896171017618</v>
      </c>
    </row>
    <row r="193" spans="1:9" ht="14.25">
      <c r="A193" s="1" t="s">
        <v>17</v>
      </c>
      <c r="B193" s="2">
        <f t="shared" si="5"/>
        <v>6</v>
      </c>
      <c r="C193" s="2" t="s">
        <v>31</v>
      </c>
      <c r="D193" s="2" t="s">
        <v>14</v>
      </c>
      <c r="E193" s="2" t="s">
        <v>26</v>
      </c>
      <c r="F193" s="2" t="s">
        <v>11</v>
      </c>
      <c r="G193" s="5">
        <v>7708.19</v>
      </c>
      <c r="H193" s="7">
        <v>1414.19</v>
      </c>
      <c r="I193" s="9">
        <f>(salesdata[[#This Row],[Profit]]/salesdata[[#This Row],[Sales]])*100</f>
        <v>18.3465897960481</v>
      </c>
    </row>
    <row r="194" spans="1:9" ht="14.25">
      <c r="A194" s="1" t="s">
        <v>40</v>
      </c>
      <c r="B194" s="2">
        <f t="shared" ref="B194:B201" si="6">MONTH(DATEVALUE(A194 &amp; " 1"))</f>
        <v>8</v>
      </c>
      <c r="C194" s="2" t="s">
        <v>31</v>
      </c>
      <c r="D194" s="2" t="s">
        <v>14</v>
      </c>
      <c r="E194" s="2" t="s">
        <v>45</v>
      </c>
      <c r="F194" s="2" t="s">
        <v>11</v>
      </c>
      <c r="G194" s="5">
        <v>8718.89</v>
      </c>
      <c r="H194" s="7">
        <v>6639.62</v>
      </c>
      <c r="I194" s="9">
        <f>(salesdata[[#This Row],[Profit]]/salesdata[[#This Row],[Sales]])*100</f>
        <v>76.152124869106046</v>
      </c>
    </row>
    <row r="195" spans="1:9" ht="14.25">
      <c r="A195" s="1" t="s">
        <v>51</v>
      </c>
      <c r="B195" s="2">
        <f t="shared" si="6"/>
        <v>10</v>
      </c>
      <c r="C195" s="2" t="s">
        <v>18</v>
      </c>
      <c r="D195" s="2" t="s">
        <v>19</v>
      </c>
      <c r="E195" s="2" t="s">
        <v>32</v>
      </c>
      <c r="F195" s="2" t="s">
        <v>27</v>
      </c>
      <c r="G195" s="5">
        <v>9863.86</v>
      </c>
      <c r="H195" s="7">
        <v>1565.12</v>
      </c>
      <c r="I195" s="9">
        <f>(salesdata[[#This Row],[Profit]]/salesdata[[#This Row],[Sales]])*100</f>
        <v>15.867216282469537</v>
      </c>
    </row>
    <row r="196" spans="1:9" ht="14.25">
      <c r="A196" s="1" t="s">
        <v>22</v>
      </c>
      <c r="B196" s="2">
        <f t="shared" si="6"/>
        <v>12</v>
      </c>
      <c r="C196" s="2" t="s">
        <v>48</v>
      </c>
      <c r="D196" s="2" t="s">
        <v>34</v>
      </c>
      <c r="E196" s="2" t="s">
        <v>49</v>
      </c>
      <c r="F196" s="2" t="s">
        <v>11</v>
      </c>
      <c r="G196" s="5">
        <v>3070.52</v>
      </c>
      <c r="H196" s="7">
        <v>1223.1500000000001</v>
      </c>
      <c r="I196" s="9">
        <f>(salesdata[[#This Row],[Profit]]/salesdata[[#This Row],[Sales]])*100</f>
        <v>39.835272201451218</v>
      </c>
    </row>
    <row r="197" spans="1:9" ht="14.25">
      <c r="A197" s="1" t="s">
        <v>39</v>
      </c>
      <c r="B197" s="2">
        <f t="shared" si="6"/>
        <v>4</v>
      </c>
      <c r="C197" s="2" t="s">
        <v>31</v>
      </c>
      <c r="D197" s="2" t="s">
        <v>14</v>
      </c>
      <c r="E197" s="2" t="s">
        <v>26</v>
      </c>
      <c r="F197" s="2" t="s">
        <v>21</v>
      </c>
      <c r="G197" s="5">
        <v>7043.56</v>
      </c>
      <c r="H197" s="7">
        <v>2548.19</v>
      </c>
      <c r="I197" s="9">
        <f>(salesdata[[#This Row],[Profit]]/salesdata[[#This Row],[Sales]])*100</f>
        <v>36.177586334183282</v>
      </c>
    </row>
    <row r="198" spans="1:9" ht="14.25">
      <c r="A198" s="1" t="s">
        <v>28</v>
      </c>
      <c r="B198" s="2">
        <f t="shared" si="6"/>
        <v>3</v>
      </c>
      <c r="C198" s="2" t="s">
        <v>38</v>
      </c>
      <c r="D198" s="2" t="s">
        <v>9</v>
      </c>
      <c r="E198" s="2" t="s">
        <v>46</v>
      </c>
      <c r="F198" s="2" t="s">
        <v>33</v>
      </c>
      <c r="G198" s="5">
        <v>5302.99</v>
      </c>
      <c r="H198" s="7">
        <v>3041.41</v>
      </c>
      <c r="I198" s="9">
        <f>(salesdata[[#This Row],[Profit]]/salesdata[[#This Row],[Sales]])*100</f>
        <v>57.352738737957267</v>
      </c>
    </row>
    <row r="199" spans="1:9" ht="14.25">
      <c r="A199" s="1" t="s">
        <v>22</v>
      </c>
      <c r="B199" s="2">
        <f t="shared" si="6"/>
        <v>12</v>
      </c>
      <c r="C199" s="2" t="s">
        <v>29</v>
      </c>
      <c r="D199" s="2" t="s">
        <v>14</v>
      </c>
      <c r="E199" s="2" t="s">
        <v>26</v>
      </c>
      <c r="F199" s="2" t="s">
        <v>47</v>
      </c>
      <c r="G199" s="5">
        <v>1814.66</v>
      </c>
      <c r="H199" s="7">
        <v>1511.98</v>
      </c>
      <c r="I199" s="9">
        <f>(salesdata[[#This Row],[Profit]]/salesdata[[#This Row],[Sales]])*100</f>
        <v>83.320291404450415</v>
      </c>
    </row>
    <row r="200" spans="1:9" ht="14.25">
      <c r="A200" s="1" t="s">
        <v>51</v>
      </c>
      <c r="B200" s="2">
        <f t="shared" si="6"/>
        <v>10</v>
      </c>
      <c r="C200" s="2" t="s">
        <v>29</v>
      </c>
      <c r="D200" s="2" t="s">
        <v>23</v>
      </c>
      <c r="E200" s="2" t="s">
        <v>44</v>
      </c>
      <c r="F200" s="2" t="s">
        <v>33</v>
      </c>
      <c r="G200" s="5">
        <v>4748.08</v>
      </c>
      <c r="H200" s="7">
        <v>1393.16</v>
      </c>
      <c r="I200" s="9">
        <f>(salesdata[[#This Row],[Profit]]/salesdata[[#This Row],[Sales]])*100</f>
        <v>29.341544371619687</v>
      </c>
    </row>
    <row r="201" spans="1:9" ht="14.25">
      <c r="A201" s="1" t="s">
        <v>25</v>
      </c>
      <c r="B201" s="2">
        <f t="shared" si="6"/>
        <v>2</v>
      </c>
      <c r="C201" s="2" t="s">
        <v>8</v>
      </c>
      <c r="D201" s="2" t="s">
        <v>23</v>
      </c>
      <c r="E201" s="2" t="s">
        <v>24</v>
      </c>
      <c r="F201" s="2" t="s">
        <v>33</v>
      </c>
      <c r="G201" s="5">
        <v>8692.98</v>
      </c>
      <c r="H201" s="7">
        <v>978.72</v>
      </c>
      <c r="I201" s="9">
        <f>(salesdata[[#This Row],[Profit]]/salesdata[[#This Row],[Sales]])*100</f>
        <v>11.258739810743842</v>
      </c>
    </row>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897FA-2860-4DC5-B541-EA9D38B7DA28}">
  <sheetPr>
    <tabColor theme="4" tint="-0.499984740745262"/>
  </sheetPr>
  <dimension ref="B2:I22"/>
  <sheetViews>
    <sheetView zoomScale="140" zoomScaleNormal="140" workbookViewId="0">
      <selection activeCell="H6" sqref="H6"/>
    </sheetView>
  </sheetViews>
  <sheetFormatPr defaultColWidth="9.28515625" defaultRowHeight="16.350000000000001" customHeight="1"/>
  <cols>
    <col min="1" max="1" width="7.7109375" style="11" customWidth="1"/>
    <col min="2" max="2" width="15.7109375" style="11" customWidth="1"/>
    <col min="3" max="3" width="18.5703125" style="11" customWidth="1"/>
    <col min="4" max="4" width="13.140625" style="11" customWidth="1"/>
    <col min="5" max="5" width="15.140625" style="11" customWidth="1"/>
    <col min="6" max="6" width="17.5703125" style="11" customWidth="1"/>
    <col min="7" max="7" width="14.85546875" style="11" bestFit="1" customWidth="1"/>
    <col min="8" max="8" width="15.85546875" style="11" customWidth="1"/>
    <col min="9" max="9" width="17.7109375" style="11" customWidth="1"/>
    <col min="10" max="10" width="9.28515625" style="11"/>
    <col min="11" max="11" width="16.140625" style="11" customWidth="1"/>
    <col min="12" max="16384" width="9.28515625" style="11"/>
  </cols>
  <sheetData>
    <row r="2" spans="2:9" ht="16.350000000000001" customHeight="1">
      <c r="B2" s="17" t="s">
        <v>59</v>
      </c>
      <c r="C2" s="17" t="s">
        <v>61</v>
      </c>
      <c r="E2" s="17" t="s">
        <v>60</v>
      </c>
      <c r="F2" s="17" t="s">
        <v>62</v>
      </c>
      <c r="H2" s="30" t="s">
        <v>63</v>
      </c>
      <c r="I2" s="30"/>
    </row>
    <row r="3" spans="2:9" ht="16.350000000000001" customHeight="1" thickBot="1">
      <c r="B3" s="18">
        <f>SUM(salesdata[Sales])</f>
        <v>981140.21</v>
      </c>
      <c r="C3" s="18">
        <f>AVERAGE(salesdata[Sales])</f>
        <v>4905.7010499999997</v>
      </c>
      <c r="E3" s="18">
        <f>SUM(salesdata[Profit])</f>
        <v>448020.63999999996</v>
      </c>
      <c r="F3" s="18">
        <f>AVERAGE(salesdata[Profit])</f>
        <v>2240.1031999999996</v>
      </c>
      <c r="H3" s="16" t="s">
        <v>2</v>
      </c>
      <c r="I3" s="15" t="s">
        <v>58</v>
      </c>
    </row>
    <row r="4" spans="2:9" ht="25.35" customHeight="1" thickBot="1">
      <c r="H4" s="14" t="s">
        <v>14</v>
      </c>
      <c r="I4" s="19">
        <f>AVERAGEIF(salesdata[Category],H4,salesdata[Profit Margin (%)])</f>
        <v>47.660041532930634</v>
      </c>
    </row>
    <row r="5" spans="2:9" ht="16.350000000000001" customHeight="1">
      <c r="B5" s="30" t="s">
        <v>65</v>
      </c>
      <c r="C5" s="30"/>
    </row>
    <row r="6" spans="2:9" ht="16.350000000000001" customHeight="1" thickBot="1">
      <c r="B6" s="16" t="s">
        <v>4</v>
      </c>
      <c r="C6" s="15" t="s">
        <v>59</v>
      </c>
    </row>
    <row r="7" spans="2:9" ht="16.350000000000001" customHeight="1" thickBot="1">
      <c r="B7" s="14" t="s">
        <v>27</v>
      </c>
      <c r="C7" s="21">
        <f>SUMIF(salesdata[State],B7,salesdata[Sales])</f>
        <v>124960.35</v>
      </c>
    </row>
    <row r="9" spans="2:9" ht="16.350000000000001" customHeight="1">
      <c r="B9" s="30" t="s">
        <v>66</v>
      </c>
      <c r="C9" s="30"/>
    </row>
    <row r="10" spans="2:9" ht="16.350000000000001" customHeight="1" thickBot="1">
      <c r="B10" s="16" t="s">
        <v>0</v>
      </c>
      <c r="C10" s="15" t="s">
        <v>61</v>
      </c>
    </row>
    <row r="11" spans="2:9" ht="16.350000000000001" customHeight="1" thickBot="1">
      <c r="B11" s="14" t="s">
        <v>37</v>
      </c>
      <c r="C11" s="21">
        <f>AVERAGEIF(salesdata[Month],B11,salesdata[Sales])</f>
        <v>4975.7605263157902</v>
      </c>
      <c r="D11" s="31"/>
      <c r="E11" s="32"/>
      <c r="F11" s="32"/>
      <c r="G11" s="32"/>
      <c r="H11" s="32"/>
    </row>
    <row r="17" s="11" customFormat="1" ht="16.350000000000001" customHeight="1"/>
    <row r="18" s="11" customFormat="1" ht="16.350000000000001" customHeight="1"/>
    <row r="19" s="11" customFormat="1" ht="16.350000000000001" customHeight="1"/>
    <row r="20" s="11" customFormat="1" ht="16.350000000000001" customHeight="1"/>
    <row r="21" s="11" customFormat="1" ht="16.350000000000001" customHeight="1"/>
    <row r="22" s="11" customFormat="1" ht="16.350000000000001" customHeight="1"/>
  </sheetData>
  <mergeCells count="4">
    <mergeCell ref="H2:I2"/>
    <mergeCell ref="B5:C5"/>
    <mergeCell ref="B9:C9"/>
    <mergeCell ref="D11:H11"/>
  </mergeCells>
  <dataValidations count="3">
    <dataValidation type="list" allowBlank="1" showInputMessage="1" showErrorMessage="1" sqref="H4" xr:uid="{782C9083-AF99-4A2F-917F-1F0325E5823B}">
      <formula1>Category</formula1>
    </dataValidation>
    <dataValidation type="list" allowBlank="1" showInputMessage="1" showErrorMessage="1" sqref="B7" xr:uid="{42750C67-ECCB-4844-B185-33746963F1ED}">
      <formula1>State</formula1>
    </dataValidation>
    <dataValidation type="list" allowBlank="1" showInputMessage="1" showErrorMessage="1" sqref="B11" xr:uid="{E4FDDD7D-247D-4001-90F3-06854A785171}">
      <formula1>Month</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8410C-FC1C-4D11-B18E-0915E8A58454}">
  <sheetPr>
    <tabColor rgb="FFFF0000"/>
  </sheetPr>
  <dimension ref="B1:J15"/>
  <sheetViews>
    <sheetView workbookViewId="0">
      <selection activeCell="B4" sqref="B4"/>
    </sheetView>
  </sheetViews>
  <sheetFormatPr defaultRowHeight="12.75"/>
  <cols>
    <col min="2" max="2" width="15.42578125" bestFit="1" customWidth="1"/>
    <col min="8" max="8" width="11.140625" bestFit="1" customWidth="1"/>
  </cols>
  <sheetData>
    <row r="1" spans="2:10">
      <c r="B1" s="20" t="s">
        <v>64</v>
      </c>
    </row>
    <row r="3" spans="2:10">
      <c r="B3" s="12" t="s">
        <v>2</v>
      </c>
      <c r="D3" s="22" t="s">
        <v>57</v>
      </c>
      <c r="E3" s="12" t="s">
        <v>0</v>
      </c>
      <c r="H3" s="12" t="s">
        <v>4</v>
      </c>
      <c r="J3" s="12" t="s">
        <v>1</v>
      </c>
    </row>
    <row r="4" spans="2:10">
      <c r="B4" s="13" t="str" cm="1">
        <f t="array" ref="B4:B8">_xlfn.UNIQUE(salesdata[Category],FALSE,)</f>
        <v>Electronics</v>
      </c>
      <c r="D4" s="23">
        <f t="shared" ref="D4:D15" si="0">MONTH(DATEVALUE(E4 &amp; " 1"))</f>
        <v>1</v>
      </c>
      <c r="E4" s="13" t="s">
        <v>36</v>
      </c>
      <c r="H4" s="13" t="str" cm="1">
        <f t="array" ref="H4:H9">_xlfn.UNIQUE(salesdata[State],FALSE,)</f>
        <v>California</v>
      </c>
      <c r="J4" s="13" t="str" cm="1">
        <f t="array" ref="J4:J10">_xlfn.UNIQUE(salesdata[Seller],FALSE,)</f>
        <v>Dave</v>
      </c>
    </row>
    <row r="5" spans="2:10">
      <c r="B5" s="13" t="str">
        <v>Clothing</v>
      </c>
      <c r="D5" s="23">
        <f t="shared" si="0"/>
        <v>2</v>
      </c>
      <c r="E5" s="13" t="s">
        <v>25</v>
      </c>
      <c r="H5" s="13" t="str">
        <v>Texas</v>
      </c>
      <c r="J5" s="13" t="str">
        <v>Frank</v>
      </c>
    </row>
    <row r="6" spans="2:10">
      <c r="B6" s="13" t="str">
        <v>Sports &amp; Fitness</v>
      </c>
      <c r="D6" s="23">
        <f t="shared" si="0"/>
        <v>3</v>
      </c>
      <c r="E6" s="13" t="s">
        <v>28</v>
      </c>
      <c r="H6" s="13" t="str">
        <v>New York</v>
      </c>
      <c r="J6" s="13" t="str">
        <v>Eve</v>
      </c>
    </row>
    <row r="7" spans="2:10">
      <c r="B7" s="13" t="str">
        <v>Food &amp; Beverages</v>
      </c>
      <c r="D7" s="23">
        <f t="shared" si="0"/>
        <v>4</v>
      </c>
      <c r="E7" s="13" t="s">
        <v>39</v>
      </c>
      <c r="H7" s="13" t="str">
        <v>Florida</v>
      </c>
      <c r="J7" s="13" t="str">
        <v>Bob</v>
      </c>
    </row>
    <row r="8" spans="2:10">
      <c r="B8" s="13" t="str">
        <v>Home Appliances</v>
      </c>
      <c r="D8" s="23">
        <f t="shared" si="0"/>
        <v>5</v>
      </c>
      <c r="E8" s="13" t="s">
        <v>7</v>
      </c>
      <c r="H8" s="13" t="str">
        <v>Illinois</v>
      </c>
      <c r="J8" s="13" t="str">
        <v>Carol</v>
      </c>
    </row>
    <row r="9" spans="2:10">
      <c r="D9" s="23">
        <f t="shared" si="0"/>
        <v>6</v>
      </c>
      <c r="E9" s="13" t="s">
        <v>17</v>
      </c>
      <c r="H9" s="13" t="str">
        <v>Pennsylvania</v>
      </c>
      <c r="J9" s="13" t="str">
        <v>Alice</v>
      </c>
    </row>
    <row r="10" spans="2:10">
      <c r="D10" s="23">
        <f t="shared" si="0"/>
        <v>7</v>
      </c>
      <c r="E10" s="13" t="s">
        <v>37</v>
      </c>
      <c r="J10" s="13" t="str">
        <v>Grace</v>
      </c>
    </row>
    <row r="11" spans="2:10">
      <c r="D11" s="23">
        <f t="shared" si="0"/>
        <v>8</v>
      </c>
      <c r="E11" s="13" t="s">
        <v>40</v>
      </c>
    </row>
    <row r="12" spans="2:10">
      <c r="D12" s="23">
        <f t="shared" si="0"/>
        <v>9</v>
      </c>
      <c r="E12" s="13" t="s">
        <v>54</v>
      </c>
    </row>
    <row r="13" spans="2:10">
      <c r="D13" s="23">
        <f t="shared" si="0"/>
        <v>10</v>
      </c>
      <c r="E13" s="13" t="s">
        <v>51</v>
      </c>
    </row>
    <row r="14" spans="2:10">
      <c r="D14" s="23">
        <f t="shared" si="0"/>
        <v>11</v>
      </c>
      <c r="E14" s="13" t="s">
        <v>12</v>
      </c>
    </row>
    <row r="15" spans="2:10">
      <c r="D15" s="23">
        <f t="shared" si="0"/>
        <v>12</v>
      </c>
      <c r="E15" s="13" t="s">
        <v>22</v>
      </c>
    </row>
  </sheetData>
  <sortState xmlns:xlrd2="http://schemas.microsoft.com/office/spreadsheetml/2017/richdata2" ref="D4:E15">
    <sortCondition ref="D4:D1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Dashboard</vt:lpstr>
      <vt:lpstr>Pivot (Key Metrics)</vt:lpstr>
      <vt:lpstr>Pivot (Seller)</vt:lpstr>
      <vt:lpstr>Pivot (Category,Product)</vt:lpstr>
      <vt:lpstr>Pivot (State)</vt:lpstr>
      <vt:lpstr>Sales Data</vt:lpstr>
      <vt:lpstr>Key Metrics</vt:lpstr>
      <vt:lpstr>Extras</vt:lpstr>
      <vt:lpstr>avg_profit_margin</vt:lpstr>
      <vt:lpstr>avg_sales</vt:lpstr>
      <vt:lpstr>Category</vt:lpstr>
      <vt:lpstr>category_count</vt:lpstr>
      <vt:lpstr>max_profit</vt:lpstr>
      <vt:lpstr>max_sales</vt:lpstr>
      <vt:lpstr>Month</vt:lpstr>
      <vt:lpstr>product_count</vt:lpstr>
      <vt:lpstr>Sales_Count</vt:lpstr>
      <vt:lpstr>Seller</vt:lpstr>
      <vt:lpstr>seller_count</vt:lpstr>
      <vt:lpstr>State</vt:lpstr>
      <vt:lpstr>state_count</vt:lpstr>
      <vt:lpstr>Total_Profit</vt:lpstr>
      <vt:lpstr>Total_Sales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Jesuloluwa Fademi</cp:lastModifiedBy>
  <dcterms:modified xsi:type="dcterms:W3CDTF">2025-04-28T14:51:55Z</dcterms:modified>
</cp:coreProperties>
</file>